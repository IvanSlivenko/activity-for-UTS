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Лист1!$A$3:$K$34</definedName>
  </definedNames>
  <calcPr calcId="124519"/>
</workbook>
</file>

<file path=xl/calcChain.xml><?xml version="1.0" encoding="utf-8"?>
<calcChain xmlns="http://schemas.openxmlformats.org/spreadsheetml/2006/main">
  <c r="N5" i="1"/>
  <c r="N1"/>
  <c r="M1"/>
  <c r="H1"/>
  <c r="H29"/>
  <c r="H27"/>
  <c r="H26"/>
  <c r="H25"/>
  <c r="H22"/>
  <c r="H21"/>
  <c r="H20"/>
  <c r="H18"/>
  <c r="H17"/>
  <c r="H16"/>
  <c r="H15"/>
  <c r="H14"/>
  <c r="H13"/>
  <c r="H11"/>
  <c r="H10"/>
  <c r="H9"/>
  <c r="H5"/>
  <c r="J1"/>
  <c r="J30"/>
  <c r="J29"/>
  <c r="J27"/>
  <c r="J20"/>
  <c r="J19"/>
  <c r="J13"/>
  <c r="J11"/>
  <c r="J10"/>
  <c r="J9"/>
  <c r="J8"/>
  <c r="J7"/>
  <c r="J6"/>
  <c r="J5"/>
  <c r="J4"/>
</calcChain>
</file>

<file path=xl/sharedStrings.xml><?xml version="1.0" encoding="utf-8"?>
<sst xmlns="http://schemas.openxmlformats.org/spreadsheetml/2006/main" count="563" uniqueCount="170">
  <si>
    <t>Дата</t>
  </si>
  <si>
    <t>Номер</t>
  </si>
  <si>
    <t>Текст завдання</t>
  </si>
  <si>
    <t>Період виконання</t>
  </si>
  <si>
    <t>Виконано в тестовій базі</t>
  </si>
  <si>
    <t>Виконано в актуальній базі</t>
  </si>
  <si>
    <t>Тривалість робіт в тестовій базі</t>
  </si>
  <si>
    <t>Тривалість робіт в актуальній базі</t>
  </si>
  <si>
    <t>Коментар тестувальника</t>
  </si>
  <si>
    <t>15.03.2026 13:00:51</t>
  </si>
  <si>
    <t>000000001</t>
  </si>
  <si>
    <t>Документ Акт Виконаних робіт
Додати поле коментар</t>
  </si>
  <si>
    <t>15-03-2026</t>
  </si>
  <si>
    <t>Так</t>
  </si>
  <si>
    <t>0</t>
  </si>
  <si>
    <t>10 хв</t>
  </si>
  <si>
    <t>парпарапрапр</t>
  </si>
  <si>
    <t>15.03.2026 13:00:20</t>
  </si>
  <si>
    <t>000000002</t>
  </si>
  <si>
    <t>Документ Наряд
Додати поле - Статус цеху
Додати ділог перед закриттям: Чи обрано СтатусГотово</t>
  </si>
  <si>
    <t>Ні</t>
  </si>
  <si>
    <t>20 хв</t>
  </si>
  <si>
    <t>16.03.2026 22:33:32</t>
  </si>
  <si>
    <t>000000006</t>
  </si>
  <si>
    <t xml:space="preserve">Механізм для пошуку товарів за фрагментом назви - Готово
Механізм для заповнення НТП Готово
</t>
  </si>
  <si>
    <t>16-03-2026</t>
  </si>
  <si>
    <t>2 години 30 хв</t>
  </si>
  <si>
    <t>16.03.2026 22:34:50</t>
  </si>
  <si>
    <t>000000007</t>
  </si>
  <si>
    <t>Механізм, що вимикає сповіщення про статус цеху для визначених користувачів</t>
  </si>
  <si>
    <t>17.03.2026 15:53:24</t>
  </si>
  <si>
    <t>000000008</t>
  </si>
  <si>
    <t xml:space="preserve">Друк Етикеток по Артикулу
Завантаження з Заготовки НТП
Завантаження за артикулом одного товара
заміна в ТЧ поля Штрихкод на поле Артикул
Формування макету друку
Вивід етикетки на принтер
</t>
  </si>
  <si>
    <t>17-03-2026 / 20-03-2026 / 22-03-2026</t>
  </si>
  <si>
    <t>( 20-03-2026 3 години )  (22-03-2026 20 хв)</t>
  </si>
  <si>
    <t>10 хв  (22-03-2026 10хв)</t>
  </si>
  <si>
    <t>18.03.2026 15:56:59</t>
  </si>
  <si>
    <t>000000009</t>
  </si>
  <si>
    <t>Обробка Транзит із заготовки НТП до НТП
відкривається з НТП</t>
  </si>
  <si>
    <t>18-03-2026   (22-03-2026)</t>
  </si>
  <si>
    <t>18.03.2026 19:10:34</t>
  </si>
  <si>
    <t>000000010</t>
  </si>
  <si>
    <t>Кнопка пошук за Артикулом в Обробці Заготовка НТП</t>
  </si>
  <si>
    <t>18-03-2026</t>
  </si>
  <si>
    <t>10хв</t>
  </si>
  <si>
    <t>19.03.2026 09:40:09</t>
  </si>
  <si>
    <t>000000011</t>
  </si>
  <si>
    <t>Поле Заготовка НТП у Документі НТП
Конопка перенести товари із Заготовка НТП у НТП</t>
  </si>
  <si>
    <t>19-03-2026</t>
  </si>
  <si>
    <t>19.03.2026 09:44:39</t>
  </si>
  <si>
    <t>000000012</t>
  </si>
  <si>
    <t>Друкована форма  рахунку покупцю  -- готово
Друкована форма  реалізації -- готово
Друкована форма  акт виконаних робіт
У полі "Всього" додати надпис "без ПДВ"
Після суми прописом додати надпис "без ПДВ"</t>
  </si>
  <si>
    <t>24-03-2026</t>
  </si>
  <si>
    <t>1 година ( Рахунок на оплату)  1година ( РТП )</t>
  </si>
  <si>
    <t>19.03.2026 12:20:45</t>
  </si>
  <si>
    <t>000000013</t>
  </si>
  <si>
    <t>Кнопка пошук за ШтрихКодом  в Обробці Заготовка НТП</t>
  </si>
  <si>
    <t>31.03.2026 13:19:34</t>
  </si>
  <si>
    <t>000000016</t>
  </si>
  <si>
    <t>В довіднику Автомобілі та транспортні  засоби
додати реквізит "Власник" ( з типом довідник Контрагентів )
заборона запису ремонту без поля "Власник" в Транспортному засобі</t>
  </si>
  <si>
    <t>20.01.2026</t>
  </si>
  <si>
    <t>31.03.2026 13:21:33</t>
  </si>
  <si>
    <t>000000017</t>
  </si>
  <si>
    <t>Вибрати всі РТП по Акту
Прокидка Акта в тільки потрібні РТП
Запуск процедури "Перед зміною ТЧ РТП в Акті"
В Акті додати кнопку "Очистити Історію і РТП"</t>
  </si>
  <si>
    <t>30 хв</t>
  </si>
  <si>
    <t>31.03.2026 13:23:36</t>
  </si>
  <si>
    <t>000000018</t>
  </si>
  <si>
    <t>Акт 
Кнопка Заповнити
Заповнити ТЧ "Товари та Послуги" в акті 
В Акі підбирати тільки ті РТП, де поле Акт = Пусто</t>
  </si>
  <si>
    <t>31.03.2026 13:24:39</t>
  </si>
  <si>
    <t>000000019</t>
  </si>
  <si>
    <t>Довідник "Автомобілі та транспортні засоби"
Актуалізувати назву</t>
  </si>
  <si>
    <t>31.03.2026 13:25:43</t>
  </si>
  <si>
    <t>000000020</t>
  </si>
  <si>
    <t>Довідник "Автомобілі та Транспортні засоби"
додати галочку "ТМЦ по собівартості"</t>
  </si>
  <si>
    <t>21.01.2026</t>
  </si>
  <si>
    <t>31.03.2026 13:27:10</t>
  </si>
  <si>
    <t>000000021</t>
  </si>
  <si>
    <t>Звіт по Ремонтам 2_1
перенести в АТП актуальну</t>
  </si>
  <si>
    <t>26.01.2026</t>
  </si>
  <si>
    <t>31.03.2026 13:29:46</t>
  </si>
  <si>
    <t>000000022</t>
  </si>
  <si>
    <t xml:space="preserve">Документ Ремонт
додати реквізит "Статус цеху"
з типом перелічення (зі значеннями : ВРоботі, Готово )
виклик повідомлення з нагадуванням про статус під час запису документу
відміна виклику повідомлення для працівників бухгалтерії </t>
  </si>
  <si>
    <t>31.03.2026 13:31:04</t>
  </si>
  <si>
    <t>000000023</t>
  </si>
  <si>
    <t xml:space="preserve">Документ "Ремонт" Колонка "Ціна" змінити назву з "Ціна "  на "Ціна закупівельна"
</t>
  </si>
  <si>
    <t>07.02.2026</t>
  </si>
  <si>
    <t>31.03.2026 13:32:49</t>
  </si>
  <si>
    <t>000000024</t>
  </si>
  <si>
    <t xml:space="preserve">Довідник "Контрагенти" додати реквізит "Використовувати закупівельні ціни"
При запису РТП  колонку "Ціна закупки" переносити у "Ціну"
 </t>
  </si>
  <si>
    <t>31.03.2026 13:39:03</t>
  </si>
  <si>
    <t>000000027</t>
  </si>
  <si>
    <t>Обробка для вивантаження товарів з документу в Excell</t>
  </si>
  <si>
    <t>07.03.2026</t>
  </si>
  <si>
    <t>2 години</t>
  </si>
  <si>
    <t>31.03.2026 13:40:08</t>
  </si>
  <si>
    <t>000000028</t>
  </si>
  <si>
    <t>Обробка для читання товарів з Excell</t>
  </si>
  <si>
    <t>09.03.2026</t>
  </si>
  <si>
    <t>31.03.2026 13:42:08</t>
  </si>
  <si>
    <t>000000029</t>
  </si>
  <si>
    <t xml:space="preserve">При додаванні РТП до документа Акт
перевірити на "Пусто В Акт в РТП" і на "Акт в РТП дорвнює цей Акт"
  </t>
  </si>
  <si>
    <t>14.02.2026</t>
  </si>
  <si>
    <t>31.03.2026 13:46:07</t>
  </si>
  <si>
    <t>000000030</t>
  </si>
  <si>
    <t>Документ Наряд
при запису документа , перевірити поле "Пробіг"
якщо поле пробіг = 0
повідомити користувача : "Поле пробіг не може бути пустим"
Вимкнути повідомлення для працівників "Бухгалтерії"</t>
  </si>
  <si>
    <t>03.04.2026 11:28:49</t>
  </si>
  <si>
    <t>000000032</t>
  </si>
  <si>
    <t xml:space="preserve">Наряд документ
Додати можливість переглядати ТЧ список (матеріалів),
коли наряд проведений зі статусом виконано та заблоковано редагування ТЧ для комірника
Рішення: Кнопка "Перегляд Запчастин"
</t>
  </si>
  <si>
    <t>02-04-2026</t>
  </si>
  <si>
    <t>08.04.2026 13:26:57</t>
  </si>
  <si>
    <t>000000033</t>
  </si>
  <si>
    <t>Друк Єтикеток через файл ZPL
//Інструкція:
//=====================================
//Тиснемо кнопку ДрукЕтикеток
//Копіюємо файл з  "D:\UmanProgerPrintData\label.zpl";
//Вставляємо файл в "C:\Users\Vanya\Desktop\08-04-2026\label.zpl"
//запускаємо у Git Bash : copy /b "C:\Users\Vanya\Desktop\08-04-2026\label.zpl" "\\localhost\Gainscha_GS-2408D" 
//Відбувається друк
// 14-04-2026 
-------------------------
Друк через Телеграм</t>
  </si>
  <si>
    <t>07-04-2026 //  08-04-2026</t>
  </si>
  <si>
    <t>07-04-2026  - 2 години //  08-04-2026 - 2 години  // 14-04-2026 - 1 година</t>
  </si>
  <si>
    <t>10.04.2026 18:20:38</t>
  </si>
  <si>
    <t>000000034</t>
  </si>
  <si>
    <t>Кнопка "Товари поточного документа" у формі Списку "Наряд"</t>
  </si>
  <si>
    <t>10-04-2026</t>
  </si>
  <si>
    <t>16.04.2026 13:24:11</t>
  </si>
  <si>
    <t>000000035</t>
  </si>
  <si>
    <t>Звіт по взаєморозрахункам</t>
  </si>
  <si>
    <t>11,12,13,14,15-04-2026</t>
  </si>
  <si>
    <t>28.04.2026 15:10:04</t>
  </si>
  <si>
    <t>000000036</t>
  </si>
  <si>
    <t>Документ Коригування боргів В Управлінському обліку</t>
  </si>
  <si>
    <t>28-04-2026</t>
  </si>
  <si>
    <t>1 година</t>
  </si>
  <si>
    <t>28.04.2026 15:11:24</t>
  </si>
  <si>
    <t>000000037</t>
  </si>
  <si>
    <t xml:space="preserve">Дата першого створення 
для : 
Надходження товарів і послуг 
Ремонт 
Реалізації 
Списання товару 
Прибутковий касовий ордер 
Видатковий касовий ордер
</t>
  </si>
  <si>
    <t>28.04.2026 15:13:00</t>
  </si>
  <si>
    <t>000000038</t>
  </si>
  <si>
    <t>Механізм Взаєморозрахунки</t>
  </si>
  <si>
    <t>28-04-2026 -- 29-04-2026</t>
  </si>
  <si>
    <t>28-04-2026    1 година</t>
  </si>
  <si>
    <t>29-04-2026   2 години</t>
  </si>
  <si>
    <t>01.05.2026 17:05:50</t>
  </si>
  <si>
    <t>000000039</t>
  </si>
  <si>
    <t>Акт Виконаних робіт
прописуємо Акт в  РТП з Табличної частини "Документи"</t>
  </si>
  <si>
    <t>01-05-2026</t>
  </si>
  <si>
    <t>Виконано тестування</t>
  </si>
  <si>
    <t>Години в тестовій базі</t>
  </si>
  <si>
    <t>Години в актуальній базі</t>
  </si>
  <si>
    <t>Всього годин</t>
  </si>
  <si>
    <t>15.03.2026 20:41:07</t>
  </si>
  <si>
    <t>000000003</t>
  </si>
  <si>
    <t xml:space="preserve">Дата першого створення:
ПКО
РКО
ПлатДорВих
ПлатДорВхідне
НТП
Оприбуткування
Списання
Реалізація
Наряд
Ремонт
Акт виконаних робіт
Обмеження змін після терміну 90 днів
</t>
  </si>
  <si>
    <t>15.03.2026 20:46:22</t>
  </si>
  <si>
    <t>000000004</t>
  </si>
  <si>
    <t>Ролі :
за схемою :
----------------------------------------
Документ_Читання
Документ_Створення
Документ_Зміна_проведених
Документ_Помітка_На_Видалення
Документ_ПовніПрава
------------------------------------------
Для документів:
=====================
ПКО
РКО
ПлатДорВих
ПлатДорВхідне
НТП
Оприбуткування
Списання
Реалізація
Наряд
Ремонт
Акт виконаних робіт</t>
  </si>
  <si>
    <t>15.03.2026 22:02:52</t>
  </si>
  <si>
    <t>000000005</t>
  </si>
  <si>
    <t xml:space="preserve">Регістр накопичення : Взаєморозрахунки
-----------------------------------------------------------------------------------
рухи в регістрі Взаєморозрахунки з таких документів:
===========================================
НТП,
РТУ,
Повернення покупця
Повернення постачальнику
ПКО
ВКО
Плат дор вхідне
Плат дор вихідне
Коригування боргів
-------------------------------------------------------------------------------------
Звіт по взаєморозрахункам
</t>
  </si>
  <si>
    <t>31.03.2026 13:16:00</t>
  </si>
  <si>
    <t>000000014</t>
  </si>
  <si>
    <t>Документ ремонт
ТЧ Товари
не заповнюється ціна при зміні кількості на товари, що прийшли за допомогою оприбуткування</t>
  </si>
  <si>
    <t>31.03.2026 13:17:24</t>
  </si>
  <si>
    <t>000000015</t>
  </si>
  <si>
    <t>Док РТП
Додати Реквізит Акт з Типом Акт виконаних робіт
При записі Акту  - записати посилання на Акт в РТП
кріпимо до події записати</t>
  </si>
  <si>
    <t>31.03.2026 13:35:30</t>
  </si>
  <si>
    <t>000000025</t>
  </si>
  <si>
    <t>Документ Ремонт
Кнопка Записати
Є процедура, що прокидає РТП, створену на підставі,
потрібно це поле заповнювати при записі РТП
якщо в ремонті поле РТП не пусте - заборонити створення РТП</t>
  </si>
  <si>
    <t>31.03.2026 13:36:27</t>
  </si>
  <si>
    <t>000000026</t>
  </si>
  <si>
    <t>Документ Акт
Додати поле Коментар
форма документа,
форма списка
форма вибору</t>
  </si>
  <si>
    <t>31.03.2026 13:49:09</t>
  </si>
  <si>
    <t>000000031</t>
  </si>
  <si>
    <t>Документ Наряд
при відкритті форми зі статусом "Виконано"
доступ до ТЧ заблоковано тільки тим У кого немає ролі
"Зміни нарядів зі статусом Виконано"</t>
  </si>
  <si>
    <t>Звіт по взаєморозрахункам по "Хозрасчетный"</t>
  </si>
  <si>
    <t>01.05.2026 17:44:05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</si>
</sst>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 wrapText="1"/>
    </xf>
    <xf numFmtId="3" fontId="0" fillId="0" borderId="0" xfId="0" applyNumberFormat="1"/>
    <xf numFmtId="0" fontId="2" fillId="2" borderId="1" xfId="2" applyNumberFormat="1" applyFont="1" applyFill="1" applyBorder="1" applyAlignment="1">
      <alignment horizontal="left" vertical="top"/>
    </xf>
    <xf numFmtId="0" fontId="3" fillId="2" borderId="1" xfId="2" applyNumberFormat="1" applyFont="1" applyFill="1" applyBorder="1" applyAlignment="1">
      <alignment horizontal="left" vertical="top"/>
    </xf>
    <xf numFmtId="0" fontId="3" fillId="2" borderId="1" xfId="2" applyNumberFormat="1" applyFont="1" applyFill="1" applyBorder="1" applyAlignment="1">
      <alignment horizontal="left" vertical="top" wrapText="1"/>
    </xf>
    <xf numFmtId="0" fontId="3" fillId="2" borderId="1" xfId="2" applyNumberFormat="1" applyFont="1" applyFill="1" applyBorder="1" applyAlignment="1">
      <alignment horizontal="right" vertical="top"/>
    </xf>
    <xf numFmtId="2" fontId="3" fillId="2" borderId="1" xfId="2" applyNumberFormat="1" applyFont="1" applyFill="1" applyBorder="1" applyAlignment="1">
      <alignment horizontal="right" vertical="top"/>
    </xf>
  </cellXfs>
  <cellStyles count="3">
    <cellStyle name="Обычный" xfId="0" builtinId="0"/>
    <cellStyle name="Обычный_Лист1" xfId="1"/>
    <cellStyle name="Обычный_Лист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M8" sqref="M8"/>
    </sheetView>
  </sheetViews>
  <sheetFormatPr defaultRowHeight="15"/>
  <cols>
    <col min="1" max="1" width="11" customWidth="1"/>
    <col min="2" max="2" width="16" customWidth="1"/>
    <col min="3" max="3" width="35.5703125" customWidth="1"/>
    <col min="5" max="5" width="26.140625" customWidth="1"/>
    <col min="6" max="6" width="29.28515625" customWidth="1"/>
    <col min="7" max="7" width="29.42578125" customWidth="1"/>
    <col min="8" max="8" width="8.85546875" customWidth="1"/>
    <col min="9" max="9" width="34.28515625" customWidth="1"/>
    <col min="10" max="10" width="8.85546875" customWidth="1"/>
    <col min="11" max="11" width="22.42578125" bestFit="1" customWidth="1"/>
  </cols>
  <sheetData>
    <row r="1" spans="1:14">
      <c r="H1">
        <f>SUM(H4:H34)</f>
        <v>21.499999999999996</v>
      </c>
      <c r="J1">
        <f>SUM(J4:J34)</f>
        <v>12.5</v>
      </c>
      <c r="M1">
        <f>SUM(H1:J1)</f>
        <v>34</v>
      </c>
      <c r="N1" s="4">
        <f>M1*500</f>
        <v>17000</v>
      </c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 t="s">
        <v>7</v>
      </c>
      <c r="J2" s="1"/>
      <c r="K2" s="1" t="s">
        <v>8</v>
      </c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2.5">
      <c r="A4" s="2" t="s">
        <v>9</v>
      </c>
      <c r="B4" s="2" t="s">
        <v>10</v>
      </c>
      <c r="C4" s="3" t="s">
        <v>11</v>
      </c>
      <c r="D4" s="2" t="s">
        <v>12</v>
      </c>
      <c r="E4" s="2" t="s">
        <v>13</v>
      </c>
      <c r="F4" s="2" t="s">
        <v>13</v>
      </c>
      <c r="G4" s="2" t="s">
        <v>14</v>
      </c>
      <c r="H4" s="2"/>
      <c r="I4" s="2" t="s">
        <v>15</v>
      </c>
      <c r="J4" s="2">
        <f>10/60</f>
        <v>0.16666666666666666</v>
      </c>
      <c r="K4" s="2" t="s">
        <v>16</v>
      </c>
    </row>
    <row r="5" spans="1:14" ht="45">
      <c r="A5" s="2" t="s">
        <v>17</v>
      </c>
      <c r="B5" s="2" t="s">
        <v>18</v>
      </c>
      <c r="C5" s="3" t="s">
        <v>19</v>
      </c>
      <c r="D5" s="2" t="s">
        <v>12</v>
      </c>
      <c r="E5" s="2" t="s">
        <v>13</v>
      </c>
      <c r="F5" s="2" t="s">
        <v>13</v>
      </c>
      <c r="G5" s="2" t="s">
        <v>21</v>
      </c>
      <c r="H5" s="2">
        <f>20/60</f>
        <v>0.33333333333333331</v>
      </c>
      <c r="I5" s="2" t="s">
        <v>15</v>
      </c>
      <c r="J5" s="2">
        <f>10/60</f>
        <v>0.16666666666666666</v>
      </c>
      <c r="K5" s="2"/>
      <c r="N5">
        <f>43000/500</f>
        <v>86</v>
      </c>
    </row>
    <row r="6" spans="1:14" ht="56.25">
      <c r="A6" s="2" t="s">
        <v>22</v>
      </c>
      <c r="B6" s="2" t="s">
        <v>23</v>
      </c>
      <c r="C6" s="3" t="s">
        <v>24</v>
      </c>
      <c r="D6" s="2" t="s">
        <v>25</v>
      </c>
      <c r="E6" s="2" t="s">
        <v>13</v>
      </c>
      <c r="F6" s="2" t="s">
        <v>13</v>
      </c>
      <c r="G6" s="2" t="s">
        <v>26</v>
      </c>
      <c r="H6" s="2">
        <v>2.5</v>
      </c>
      <c r="I6" s="2" t="s">
        <v>15</v>
      </c>
      <c r="J6" s="2">
        <f>10/60</f>
        <v>0.16666666666666666</v>
      </c>
      <c r="K6" s="2"/>
    </row>
    <row r="7" spans="1:14">
      <c r="A7" s="2" t="s">
        <v>27</v>
      </c>
      <c r="B7" s="2" t="s">
        <v>28</v>
      </c>
      <c r="C7" s="2" t="s">
        <v>29</v>
      </c>
      <c r="D7" s="2" t="s">
        <v>25</v>
      </c>
      <c r="E7" s="2" t="s">
        <v>20</v>
      </c>
      <c r="F7" s="2" t="s">
        <v>13</v>
      </c>
      <c r="G7" s="2"/>
      <c r="H7" s="2">
        <v>0</v>
      </c>
      <c r="I7" s="2" t="s">
        <v>21</v>
      </c>
      <c r="J7" s="2">
        <f>20/60</f>
        <v>0.33333333333333331</v>
      </c>
      <c r="K7" s="2"/>
    </row>
    <row r="8" spans="1:14" ht="168.75">
      <c r="A8" s="2" t="s">
        <v>30</v>
      </c>
      <c r="B8" s="2" t="s">
        <v>31</v>
      </c>
      <c r="C8" s="3" t="s">
        <v>32</v>
      </c>
      <c r="D8" s="2" t="s">
        <v>33</v>
      </c>
      <c r="E8" s="2" t="s">
        <v>13</v>
      </c>
      <c r="F8" s="2" t="s">
        <v>13</v>
      </c>
      <c r="G8" s="2" t="s">
        <v>34</v>
      </c>
      <c r="H8" s="2">
        <v>3.5</v>
      </c>
      <c r="I8" s="2" t="s">
        <v>35</v>
      </c>
      <c r="J8" s="2">
        <f>10/60</f>
        <v>0.16666666666666666</v>
      </c>
      <c r="K8" s="2"/>
    </row>
    <row r="9" spans="1:14" ht="33.75">
      <c r="A9" s="2" t="s">
        <v>36</v>
      </c>
      <c r="B9" s="2" t="s">
        <v>37</v>
      </c>
      <c r="C9" s="3" t="s">
        <v>38</v>
      </c>
      <c r="D9" s="2" t="s">
        <v>39</v>
      </c>
      <c r="E9" s="2" t="s">
        <v>13</v>
      </c>
      <c r="F9" s="2" t="s">
        <v>13</v>
      </c>
      <c r="G9" s="2" t="s">
        <v>21</v>
      </c>
      <c r="H9" s="2">
        <f>20/60</f>
        <v>0.33333333333333331</v>
      </c>
      <c r="I9" s="2" t="s">
        <v>15</v>
      </c>
      <c r="J9" s="2">
        <f>10/60</f>
        <v>0.16666666666666666</v>
      </c>
      <c r="K9" s="2"/>
    </row>
    <row r="10" spans="1:14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13</v>
      </c>
      <c r="F10" s="2" t="s">
        <v>13</v>
      </c>
      <c r="G10" s="2" t="s">
        <v>15</v>
      </c>
      <c r="H10" s="2">
        <f>10/60</f>
        <v>0.16666666666666666</v>
      </c>
      <c r="I10" s="2" t="s">
        <v>44</v>
      </c>
      <c r="J10" s="2">
        <f>10/60</f>
        <v>0.16666666666666666</v>
      </c>
      <c r="K10" s="2"/>
    </row>
    <row r="11" spans="1:14" ht="33.75">
      <c r="A11" s="2" t="s">
        <v>45</v>
      </c>
      <c r="B11" s="2" t="s">
        <v>46</v>
      </c>
      <c r="C11" s="3" t="s">
        <v>47</v>
      </c>
      <c r="D11" s="2" t="s">
        <v>48</v>
      </c>
      <c r="E11" s="2" t="s">
        <v>13</v>
      </c>
      <c r="F11" s="2" t="s">
        <v>13</v>
      </c>
      <c r="G11" s="2" t="s">
        <v>21</v>
      </c>
      <c r="H11" s="2">
        <f>20/60</f>
        <v>0.33333333333333331</v>
      </c>
      <c r="I11" s="2" t="s">
        <v>15</v>
      </c>
      <c r="J11" s="2">
        <f>10/60</f>
        <v>0.16666666666666666</v>
      </c>
      <c r="K11" s="2"/>
    </row>
    <row r="12" spans="1:14" ht="101.25">
      <c r="A12" s="2" t="s">
        <v>49</v>
      </c>
      <c r="B12" s="2" t="s">
        <v>50</v>
      </c>
      <c r="C12" s="3" t="s">
        <v>51</v>
      </c>
      <c r="D12" s="2" t="s">
        <v>52</v>
      </c>
      <c r="E12" s="2" t="s">
        <v>13</v>
      </c>
      <c r="F12" s="2" t="s">
        <v>20</v>
      </c>
      <c r="G12" s="2" t="s">
        <v>53</v>
      </c>
      <c r="H12" s="2">
        <v>2</v>
      </c>
      <c r="I12" s="2"/>
      <c r="J12" s="2"/>
      <c r="K12" s="2"/>
    </row>
    <row r="13" spans="1:14">
      <c r="A13" s="2" t="s">
        <v>54</v>
      </c>
      <c r="B13" s="2" t="s">
        <v>55</v>
      </c>
      <c r="C13" s="2" t="s">
        <v>56</v>
      </c>
      <c r="D13" s="2" t="s">
        <v>48</v>
      </c>
      <c r="E13" s="2" t="s">
        <v>13</v>
      </c>
      <c r="F13" s="2" t="s">
        <v>13</v>
      </c>
      <c r="G13" s="2" t="s">
        <v>15</v>
      </c>
      <c r="H13" s="2">
        <f>10/60</f>
        <v>0.16666666666666666</v>
      </c>
      <c r="I13" s="2" t="s">
        <v>44</v>
      </c>
      <c r="J13" s="2">
        <f>10/60</f>
        <v>0.16666666666666666</v>
      </c>
      <c r="K13" s="2"/>
    </row>
    <row r="14" spans="1:14" ht="67.5">
      <c r="A14" s="2" t="s">
        <v>57</v>
      </c>
      <c r="B14" s="2" t="s">
        <v>58</v>
      </c>
      <c r="C14" s="3" t="s">
        <v>59</v>
      </c>
      <c r="D14" s="2" t="s">
        <v>60</v>
      </c>
      <c r="E14" s="2" t="s">
        <v>13</v>
      </c>
      <c r="F14" s="2" t="s">
        <v>20</v>
      </c>
      <c r="G14" s="2" t="s">
        <v>21</v>
      </c>
      <c r="H14" s="2">
        <f>20/60</f>
        <v>0.33333333333333331</v>
      </c>
      <c r="I14" s="2"/>
      <c r="J14" s="2"/>
      <c r="K14" s="2"/>
    </row>
    <row r="15" spans="1:14" ht="56.25">
      <c r="A15" s="2" t="s">
        <v>61</v>
      </c>
      <c r="B15" s="2" t="s">
        <v>62</v>
      </c>
      <c r="C15" s="3" t="s">
        <v>63</v>
      </c>
      <c r="D15" s="2" t="s">
        <v>60</v>
      </c>
      <c r="E15" s="2" t="s">
        <v>13</v>
      </c>
      <c r="F15" s="2" t="s">
        <v>20</v>
      </c>
      <c r="G15" s="2" t="s">
        <v>64</v>
      </c>
      <c r="H15" s="2">
        <f>30/60</f>
        <v>0.5</v>
      </c>
      <c r="I15" s="2"/>
      <c r="J15" s="2"/>
      <c r="K15" s="2"/>
    </row>
    <row r="16" spans="1:14" ht="56.25">
      <c r="A16" s="2" t="s">
        <v>65</v>
      </c>
      <c r="B16" s="2" t="s">
        <v>66</v>
      </c>
      <c r="C16" s="3" t="s">
        <v>67</v>
      </c>
      <c r="D16" s="2" t="s">
        <v>60</v>
      </c>
      <c r="E16" s="2" t="s">
        <v>13</v>
      </c>
      <c r="F16" s="2" t="s">
        <v>20</v>
      </c>
      <c r="G16" s="2" t="s">
        <v>64</v>
      </c>
      <c r="H16" s="2">
        <f>30/60</f>
        <v>0.5</v>
      </c>
      <c r="I16" s="2"/>
      <c r="J16" s="2"/>
      <c r="K16" s="2"/>
    </row>
    <row r="17" spans="1:11" ht="22.5">
      <c r="A17" s="2" t="s">
        <v>68</v>
      </c>
      <c r="B17" s="2" t="s">
        <v>69</v>
      </c>
      <c r="C17" s="3" t="s">
        <v>70</v>
      </c>
      <c r="D17" s="2" t="s">
        <v>60</v>
      </c>
      <c r="E17" s="2" t="s">
        <v>13</v>
      </c>
      <c r="F17" s="2" t="s">
        <v>20</v>
      </c>
      <c r="G17" s="2" t="s">
        <v>15</v>
      </c>
      <c r="H17" s="2">
        <f>10/60</f>
        <v>0.16666666666666666</v>
      </c>
      <c r="I17" s="2"/>
      <c r="J17" s="2"/>
      <c r="K17" s="2"/>
    </row>
    <row r="18" spans="1:11" ht="22.5">
      <c r="A18" s="2" t="s">
        <v>71</v>
      </c>
      <c r="B18" s="2" t="s">
        <v>72</v>
      </c>
      <c r="C18" s="3" t="s">
        <v>73</v>
      </c>
      <c r="D18" s="2" t="s">
        <v>74</v>
      </c>
      <c r="E18" s="2" t="s">
        <v>13</v>
      </c>
      <c r="F18" s="2" t="s">
        <v>20</v>
      </c>
      <c r="G18" s="2" t="s">
        <v>15</v>
      </c>
      <c r="H18" s="2">
        <f>10/60</f>
        <v>0.16666666666666666</v>
      </c>
      <c r="I18" s="2"/>
      <c r="J18" s="2"/>
      <c r="K18" s="2"/>
    </row>
    <row r="19" spans="1:11" ht="22.5">
      <c r="A19" s="2" t="s">
        <v>75</v>
      </c>
      <c r="B19" s="2" t="s">
        <v>76</v>
      </c>
      <c r="C19" s="3" t="s">
        <v>77</v>
      </c>
      <c r="D19" s="2" t="s">
        <v>78</v>
      </c>
      <c r="E19" s="2" t="s">
        <v>13</v>
      </c>
      <c r="F19" s="2" t="s">
        <v>13</v>
      </c>
      <c r="G19" s="2"/>
      <c r="H19" s="2">
        <v>0</v>
      </c>
      <c r="I19" s="2" t="s">
        <v>15</v>
      </c>
      <c r="J19" s="2">
        <f>10/60</f>
        <v>0.16666666666666666</v>
      </c>
      <c r="K19" s="2"/>
    </row>
    <row r="20" spans="1:11" ht="112.5">
      <c r="A20" s="2" t="s">
        <v>79</v>
      </c>
      <c r="B20" s="2" t="s">
        <v>80</v>
      </c>
      <c r="C20" s="3" t="s">
        <v>81</v>
      </c>
      <c r="D20" s="2" t="s">
        <v>78</v>
      </c>
      <c r="E20" s="2" t="s">
        <v>13</v>
      </c>
      <c r="F20" s="2" t="s">
        <v>13</v>
      </c>
      <c r="G20" s="2" t="s">
        <v>64</v>
      </c>
      <c r="H20" s="2">
        <f>30/60</f>
        <v>0.5</v>
      </c>
      <c r="I20" s="2" t="s">
        <v>15</v>
      </c>
      <c r="J20" s="2">
        <f>10/60</f>
        <v>0.16666666666666666</v>
      </c>
      <c r="K20" s="2"/>
    </row>
    <row r="21" spans="1:11" ht="33.75">
      <c r="A21" s="2" t="s">
        <v>82</v>
      </c>
      <c r="B21" s="2" t="s">
        <v>83</v>
      </c>
      <c r="C21" s="3" t="s">
        <v>84</v>
      </c>
      <c r="D21" s="2" t="s">
        <v>85</v>
      </c>
      <c r="E21" s="2" t="s">
        <v>13</v>
      </c>
      <c r="F21" s="2" t="s">
        <v>20</v>
      </c>
      <c r="G21" s="2" t="s">
        <v>15</v>
      </c>
      <c r="H21" s="2">
        <f>10/60</f>
        <v>0.16666666666666666</v>
      </c>
      <c r="I21" s="2"/>
      <c r="J21" s="2"/>
      <c r="K21" s="2"/>
    </row>
    <row r="22" spans="1:11" ht="78.75">
      <c r="A22" s="2" t="s">
        <v>86</v>
      </c>
      <c r="B22" s="2" t="s">
        <v>87</v>
      </c>
      <c r="C22" s="3" t="s">
        <v>88</v>
      </c>
      <c r="D22" s="2" t="s">
        <v>85</v>
      </c>
      <c r="E22" s="2" t="s">
        <v>13</v>
      </c>
      <c r="F22" s="2" t="s">
        <v>20</v>
      </c>
      <c r="G22" s="2" t="s">
        <v>64</v>
      </c>
      <c r="H22" s="2">
        <f>30/60</f>
        <v>0.5</v>
      </c>
      <c r="I22" s="2"/>
      <c r="J22" s="2"/>
      <c r="K22" s="2"/>
    </row>
    <row r="23" spans="1:11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13</v>
      </c>
      <c r="F23" s="2" t="s">
        <v>13</v>
      </c>
      <c r="G23" s="2" t="s">
        <v>93</v>
      </c>
      <c r="H23" s="2">
        <v>2</v>
      </c>
      <c r="I23" s="2"/>
      <c r="J23" s="2"/>
      <c r="K23" s="2"/>
    </row>
    <row r="24" spans="1:11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13</v>
      </c>
      <c r="F24" s="2" t="s">
        <v>13</v>
      </c>
      <c r="G24" s="2" t="s">
        <v>93</v>
      </c>
      <c r="H24" s="2">
        <v>2</v>
      </c>
      <c r="I24" s="2"/>
      <c r="J24" s="2"/>
      <c r="K24" s="2"/>
    </row>
    <row r="25" spans="1:11" ht="56.25">
      <c r="A25" s="2" t="s">
        <v>98</v>
      </c>
      <c r="B25" s="2" t="s">
        <v>99</v>
      </c>
      <c r="C25" s="3" t="s">
        <v>100</v>
      </c>
      <c r="D25" s="2" t="s">
        <v>101</v>
      </c>
      <c r="E25" s="2" t="s">
        <v>13</v>
      </c>
      <c r="F25" s="2" t="s">
        <v>20</v>
      </c>
      <c r="G25" s="2" t="s">
        <v>64</v>
      </c>
      <c r="H25" s="2">
        <f>30/60</f>
        <v>0.5</v>
      </c>
      <c r="I25" s="2"/>
      <c r="J25" s="2"/>
      <c r="K25" s="2"/>
    </row>
    <row r="26" spans="1:11" ht="101.25">
      <c r="A26" s="2" t="s">
        <v>102</v>
      </c>
      <c r="B26" s="2" t="s">
        <v>103</v>
      </c>
      <c r="C26" s="3" t="s">
        <v>104</v>
      </c>
      <c r="D26" s="2" t="s">
        <v>101</v>
      </c>
      <c r="E26" s="2" t="s">
        <v>13</v>
      </c>
      <c r="F26" s="2" t="s">
        <v>20</v>
      </c>
      <c r="G26" s="2" t="s">
        <v>21</v>
      </c>
      <c r="H26" s="2">
        <f>20/60</f>
        <v>0.33333333333333331</v>
      </c>
      <c r="I26" s="2"/>
      <c r="J26" s="2"/>
      <c r="K26" s="2"/>
    </row>
    <row r="27" spans="1:11" ht="112.5">
      <c r="A27" s="2" t="s">
        <v>105</v>
      </c>
      <c r="B27" s="2" t="s">
        <v>106</v>
      </c>
      <c r="C27" s="3" t="s">
        <v>107</v>
      </c>
      <c r="D27" s="2" t="s">
        <v>108</v>
      </c>
      <c r="E27" s="2" t="s">
        <v>13</v>
      </c>
      <c r="F27" s="2" t="s">
        <v>13</v>
      </c>
      <c r="G27" s="2" t="s">
        <v>21</v>
      </c>
      <c r="H27" s="2">
        <f>20/60</f>
        <v>0.33333333333333331</v>
      </c>
      <c r="I27" s="2" t="s">
        <v>15</v>
      </c>
      <c r="J27" s="2">
        <f>10/60</f>
        <v>0.16666666666666666</v>
      </c>
      <c r="K27" s="2"/>
    </row>
    <row r="28" spans="1:11" ht="202.5">
      <c r="A28" s="2" t="s">
        <v>109</v>
      </c>
      <c r="B28" s="2" t="s">
        <v>110</v>
      </c>
      <c r="C28" s="3" t="s">
        <v>111</v>
      </c>
      <c r="D28" s="2" t="s">
        <v>112</v>
      </c>
      <c r="E28" s="2" t="s">
        <v>20</v>
      </c>
      <c r="F28" s="2" t="s">
        <v>13</v>
      </c>
      <c r="G28" s="2" t="s">
        <v>113</v>
      </c>
      <c r="H28" s="2">
        <v>0</v>
      </c>
      <c r="I28" s="2"/>
      <c r="J28" s="2">
        <v>5</v>
      </c>
      <c r="K28" s="2"/>
    </row>
    <row r="29" spans="1:11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13</v>
      </c>
      <c r="F29" s="2" t="s">
        <v>13</v>
      </c>
      <c r="G29" s="2" t="s">
        <v>15</v>
      </c>
      <c r="H29" s="2">
        <f>10/60</f>
        <v>0.16666666666666666</v>
      </c>
      <c r="I29" s="2" t="s">
        <v>15</v>
      </c>
      <c r="J29" s="2">
        <f>10/60</f>
        <v>0.16666666666666666</v>
      </c>
      <c r="K29" s="2"/>
    </row>
    <row r="30" spans="1:11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13</v>
      </c>
      <c r="F30" s="2" t="s">
        <v>13</v>
      </c>
      <c r="G30" s="2" t="s">
        <v>93</v>
      </c>
      <c r="H30" s="2">
        <v>2</v>
      </c>
      <c r="I30" s="2" t="s">
        <v>15</v>
      </c>
      <c r="J30" s="2">
        <f>10/60</f>
        <v>0.16666666666666666</v>
      </c>
      <c r="K30" s="2"/>
    </row>
    <row r="31" spans="1:11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13</v>
      </c>
      <c r="F31" s="2" t="s">
        <v>13</v>
      </c>
      <c r="G31" s="2" t="s">
        <v>126</v>
      </c>
      <c r="H31" s="2">
        <v>1</v>
      </c>
      <c r="I31" s="2"/>
      <c r="J31" s="2"/>
      <c r="K31" s="2"/>
    </row>
    <row r="32" spans="1:11" ht="123.75">
      <c r="A32" s="2" t="s">
        <v>127</v>
      </c>
      <c r="B32" s="2" t="s">
        <v>128</v>
      </c>
      <c r="C32" s="3" t="s">
        <v>129</v>
      </c>
      <c r="D32" s="2" t="s">
        <v>125</v>
      </c>
      <c r="E32" s="2" t="s">
        <v>20</v>
      </c>
      <c r="F32" s="2" t="s">
        <v>13</v>
      </c>
      <c r="G32" s="2"/>
      <c r="H32" s="2">
        <v>0</v>
      </c>
      <c r="I32" s="2" t="s">
        <v>126</v>
      </c>
      <c r="J32" s="2">
        <v>1</v>
      </c>
      <c r="K32" s="2"/>
    </row>
    <row r="33" spans="1:11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13</v>
      </c>
      <c r="F33" s="2" t="s">
        <v>13</v>
      </c>
      <c r="G33" s="2" t="s">
        <v>134</v>
      </c>
      <c r="H33" s="2">
        <v>1</v>
      </c>
      <c r="I33" s="2" t="s">
        <v>135</v>
      </c>
      <c r="J33" s="2">
        <v>2</v>
      </c>
      <c r="K33" s="2"/>
    </row>
    <row r="34" spans="1:11" ht="33.75">
      <c r="A34" s="2" t="s">
        <v>136</v>
      </c>
      <c r="B34" s="2" t="s">
        <v>137</v>
      </c>
      <c r="C34" s="3" t="s">
        <v>138</v>
      </c>
      <c r="D34" s="2" t="s">
        <v>139</v>
      </c>
      <c r="E34" s="2" t="s">
        <v>20</v>
      </c>
      <c r="F34" s="2" t="s">
        <v>13</v>
      </c>
      <c r="G34" s="2"/>
      <c r="H34" s="2">
        <v>0</v>
      </c>
      <c r="I34" s="2" t="s">
        <v>93</v>
      </c>
      <c r="J34" s="2">
        <v>2</v>
      </c>
      <c r="K34" s="2"/>
    </row>
  </sheetData>
  <autoFilter ref="A3:K34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>
      <selection activeCell="K30" sqref="K30"/>
    </sheetView>
  </sheetViews>
  <sheetFormatPr defaultRowHeight="20.25" customHeight="1" outlineLevelCol="1"/>
  <cols>
    <col min="1" max="1" width="32.28515625" customWidth="1"/>
    <col min="2" max="2" width="11.85546875" customWidth="1"/>
    <col min="3" max="3" width="11.85546875" hidden="1" customWidth="1" outlineLevel="1"/>
    <col min="4" max="4" width="28.42578125" customWidth="1" collapsed="1"/>
    <col min="5" max="7" width="11.85546875" customWidth="1"/>
    <col min="8" max="8" width="34" customWidth="1"/>
    <col min="9" max="9" width="20.85546875" customWidth="1"/>
    <col min="10" max="10" width="11.85546875" customWidth="1"/>
    <col min="11" max="11" width="25" customWidth="1"/>
    <col min="12" max="12" width="18.28515625" customWidth="1"/>
    <col min="13" max="13" width="11.85546875" customWidth="1"/>
  </cols>
  <sheetData>
    <row r="1" spans="1:13" ht="20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140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141</v>
      </c>
      <c r="L1" s="5" t="s">
        <v>142</v>
      </c>
      <c r="M1" s="5" t="s">
        <v>143</v>
      </c>
    </row>
    <row r="2" spans="1:13" ht="20.25" customHeight="1">
      <c r="A2" s="6" t="s">
        <v>9</v>
      </c>
      <c r="B2" s="6" t="s">
        <v>10</v>
      </c>
      <c r="C2" s="7" t="s">
        <v>11</v>
      </c>
      <c r="D2" s="6" t="s">
        <v>12</v>
      </c>
      <c r="E2" s="6" t="s">
        <v>13</v>
      </c>
      <c r="F2" s="6" t="s">
        <v>13</v>
      </c>
      <c r="G2" s="6" t="s">
        <v>13</v>
      </c>
      <c r="H2" s="6" t="s">
        <v>14</v>
      </c>
      <c r="I2" s="6" t="s">
        <v>15</v>
      </c>
      <c r="J2" s="6" t="s">
        <v>16</v>
      </c>
      <c r="K2" s="8"/>
      <c r="L2" s="8"/>
      <c r="M2" s="8"/>
    </row>
    <row r="3" spans="1:13" ht="20.25" customHeight="1">
      <c r="A3" s="6" t="s">
        <v>17</v>
      </c>
      <c r="B3" s="6" t="s">
        <v>18</v>
      </c>
      <c r="C3" s="7" t="s">
        <v>19</v>
      </c>
      <c r="D3" s="6" t="s">
        <v>12</v>
      </c>
      <c r="E3" s="6" t="s">
        <v>13</v>
      </c>
      <c r="F3" s="6" t="s">
        <v>20</v>
      </c>
      <c r="G3" s="6" t="s">
        <v>13</v>
      </c>
      <c r="H3" s="6" t="s">
        <v>21</v>
      </c>
      <c r="I3" s="6" t="s">
        <v>15</v>
      </c>
      <c r="J3" s="6"/>
      <c r="K3" s="9">
        <v>0.33</v>
      </c>
      <c r="L3" s="9">
        <v>0.17</v>
      </c>
      <c r="M3" s="9">
        <v>0.5</v>
      </c>
    </row>
    <row r="4" spans="1:13" ht="20.25" customHeight="1">
      <c r="A4" s="6" t="s">
        <v>144</v>
      </c>
      <c r="B4" s="6" t="s">
        <v>145</v>
      </c>
      <c r="C4" s="7" t="s">
        <v>146</v>
      </c>
      <c r="D4" s="6"/>
      <c r="E4" s="6" t="s">
        <v>20</v>
      </c>
      <c r="F4" s="6" t="s">
        <v>20</v>
      </c>
      <c r="G4" s="6" t="s">
        <v>20</v>
      </c>
      <c r="H4" s="6"/>
      <c r="I4" s="6"/>
      <c r="J4" s="6"/>
      <c r="K4" s="8"/>
      <c r="L4" s="8"/>
      <c r="M4" s="8"/>
    </row>
    <row r="5" spans="1:13" ht="20.25" customHeight="1">
      <c r="A5" s="6" t="s">
        <v>147</v>
      </c>
      <c r="B5" s="6" t="s">
        <v>148</v>
      </c>
      <c r="C5" s="7" t="s">
        <v>149</v>
      </c>
      <c r="D5" s="6"/>
      <c r="E5" s="6" t="s">
        <v>20</v>
      </c>
      <c r="F5" s="6" t="s">
        <v>20</v>
      </c>
      <c r="G5" s="6" t="s">
        <v>20</v>
      </c>
      <c r="H5" s="6"/>
      <c r="I5" s="6"/>
      <c r="J5" s="6"/>
      <c r="K5" s="8"/>
      <c r="L5" s="8"/>
      <c r="M5" s="8"/>
    </row>
    <row r="6" spans="1:13" ht="20.25" customHeight="1">
      <c r="A6" s="6" t="s">
        <v>150</v>
      </c>
      <c r="B6" s="6" t="s">
        <v>151</v>
      </c>
      <c r="C6" s="7" t="s">
        <v>152</v>
      </c>
      <c r="D6" s="6"/>
      <c r="E6" s="6" t="s">
        <v>20</v>
      </c>
      <c r="F6" s="6" t="s">
        <v>20</v>
      </c>
      <c r="G6" s="6" t="s">
        <v>20</v>
      </c>
      <c r="H6" s="6"/>
      <c r="I6" s="6"/>
      <c r="J6" s="6"/>
      <c r="K6" s="8"/>
      <c r="L6" s="8"/>
      <c r="M6" s="8"/>
    </row>
    <row r="7" spans="1:13" ht="20.25" customHeight="1">
      <c r="A7" s="6" t="s">
        <v>22</v>
      </c>
      <c r="B7" s="6" t="s">
        <v>23</v>
      </c>
      <c r="C7" s="7" t="s">
        <v>24</v>
      </c>
      <c r="D7" s="6" t="s">
        <v>25</v>
      </c>
      <c r="E7" s="6" t="s">
        <v>13</v>
      </c>
      <c r="F7" s="6" t="s">
        <v>20</v>
      </c>
      <c r="G7" s="6" t="s">
        <v>13</v>
      </c>
      <c r="H7" s="6" t="s">
        <v>26</v>
      </c>
      <c r="I7" s="6" t="s">
        <v>15</v>
      </c>
      <c r="J7" s="6"/>
      <c r="K7" s="9">
        <v>2.5</v>
      </c>
      <c r="L7" s="9">
        <v>0.17</v>
      </c>
      <c r="M7" s="9">
        <v>2.67</v>
      </c>
    </row>
    <row r="8" spans="1:13" ht="20.25" customHeight="1">
      <c r="A8" s="6" t="s">
        <v>27</v>
      </c>
      <c r="B8" s="6" t="s">
        <v>28</v>
      </c>
      <c r="C8" s="6" t="s">
        <v>29</v>
      </c>
      <c r="D8" s="6" t="s">
        <v>25</v>
      </c>
      <c r="E8" s="6" t="s">
        <v>20</v>
      </c>
      <c r="F8" s="6" t="s">
        <v>20</v>
      </c>
      <c r="G8" s="6" t="s">
        <v>13</v>
      </c>
      <c r="H8" s="6"/>
      <c r="I8" s="6" t="s">
        <v>21</v>
      </c>
      <c r="J8" s="6"/>
      <c r="K8" s="8"/>
      <c r="L8" s="9">
        <v>0.33</v>
      </c>
      <c r="M8" s="9">
        <v>0.33</v>
      </c>
    </row>
    <row r="9" spans="1:13" ht="20.25" customHeight="1">
      <c r="A9" s="6" t="s">
        <v>30</v>
      </c>
      <c r="B9" s="6" t="s">
        <v>31</v>
      </c>
      <c r="C9" s="7" t="s">
        <v>32</v>
      </c>
      <c r="D9" s="6" t="s">
        <v>33</v>
      </c>
      <c r="E9" s="6" t="s">
        <v>13</v>
      </c>
      <c r="F9" s="6" t="s">
        <v>20</v>
      </c>
      <c r="G9" s="6" t="s">
        <v>13</v>
      </c>
      <c r="H9" s="6" t="s">
        <v>34</v>
      </c>
      <c r="I9" s="6" t="s">
        <v>35</v>
      </c>
      <c r="J9" s="6"/>
      <c r="K9" s="8"/>
      <c r="L9" s="8"/>
      <c r="M9" s="8"/>
    </row>
    <row r="10" spans="1:13" ht="20.25" customHeight="1">
      <c r="A10" s="6" t="s">
        <v>36</v>
      </c>
      <c r="B10" s="6" t="s">
        <v>37</v>
      </c>
      <c r="C10" s="7" t="s">
        <v>38</v>
      </c>
      <c r="D10" s="6" t="s">
        <v>39</v>
      </c>
      <c r="E10" s="6" t="s">
        <v>13</v>
      </c>
      <c r="F10" s="6" t="s">
        <v>20</v>
      </c>
      <c r="G10" s="6" t="s">
        <v>13</v>
      </c>
      <c r="H10" s="6" t="s">
        <v>21</v>
      </c>
      <c r="I10" s="6" t="s">
        <v>15</v>
      </c>
      <c r="J10" s="6"/>
      <c r="K10" s="9">
        <v>0.33</v>
      </c>
      <c r="L10" s="9">
        <v>0.17</v>
      </c>
      <c r="M10" s="9">
        <v>0.5</v>
      </c>
    </row>
    <row r="11" spans="1:13" ht="20.25" customHeight="1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13</v>
      </c>
      <c r="F11" s="6" t="s">
        <v>20</v>
      </c>
      <c r="G11" s="6" t="s">
        <v>13</v>
      </c>
      <c r="H11" s="6" t="s">
        <v>15</v>
      </c>
      <c r="I11" s="6" t="s">
        <v>44</v>
      </c>
      <c r="J11" s="6"/>
      <c r="K11" s="9">
        <v>0.17</v>
      </c>
      <c r="L11" s="9">
        <v>0.17</v>
      </c>
      <c r="M11" s="9">
        <v>0.34</v>
      </c>
    </row>
    <row r="12" spans="1:13" ht="20.25" customHeight="1">
      <c r="A12" s="6" t="s">
        <v>45</v>
      </c>
      <c r="B12" s="6" t="s">
        <v>46</v>
      </c>
      <c r="C12" s="7" t="s">
        <v>47</v>
      </c>
      <c r="D12" s="6" t="s">
        <v>48</v>
      </c>
      <c r="E12" s="6" t="s">
        <v>13</v>
      </c>
      <c r="F12" s="6" t="s">
        <v>20</v>
      </c>
      <c r="G12" s="6" t="s">
        <v>13</v>
      </c>
      <c r="H12" s="6" t="s">
        <v>21</v>
      </c>
      <c r="I12" s="6" t="s">
        <v>15</v>
      </c>
      <c r="J12" s="6"/>
      <c r="K12" s="9">
        <v>0.33</v>
      </c>
      <c r="L12" s="9">
        <v>0.17</v>
      </c>
      <c r="M12" s="9">
        <v>0.5</v>
      </c>
    </row>
    <row r="13" spans="1:13" ht="20.25" customHeight="1">
      <c r="A13" s="6" t="s">
        <v>49</v>
      </c>
      <c r="B13" s="6" t="s">
        <v>50</v>
      </c>
      <c r="C13" s="7" t="s">
        <v>51</v>
      </c>
      <c r="D13" s="6" t="s">
        <v>52</v>
      </c>
      <c r="E13" s="6" t="s">
        <v>13</v>
      </c>
      <c r="F13" s="6" t="s">
        <v>20</v>
      </c>
      <c r="G13" s="6" t="s">
        <v>20</v>
      </c>
      <c r="H13" s="6" t="s">
        <v>53</v>
      </c>
      <c r="I13" s="6"/>
      <c r="J13" s="6"/>
      <c r="K13" s="9">
        <v>2</v>
      </c>
      <c r="L13" s="8"/>
      <c r="M13" s="9">
        <v>2</v>
      </c>
    </row>
    <row r="14" spans="1:13" ht="20.25" customHeight="1">
      <c r="A14" s="6" t="s">
        <v>54</v>
      </c>
      <c r="B14" s="6" t="s">
        <v>55</v>
      </c>
      <c r="C14" s="6" t="s">
        <v>56</v>
      </c>
      <c r="D14" s="6" t="s">
        <v>48</v>
      </c>
      <c r="E14" s="6" t="s">
        <v>13</v>
      </c>
      <c r="F14" s="6" t="s">
        <v>20</v>
      </c>
      <c r="G14" s="6" t="s">
        <v>13</v>
      </c>
      <c r="H14" s="6" t="s">
        <v>15</v>
      </c>
      <c r="I14" s="6" t="s">
        <v>44</v>
      </c>
      <c r="J14" s="6"/>
      <c r="K14" s="9">
        <v>0.33</v>
      </c>
      <c r="L14" s="9">
        <v>0.17</v>
      </c>
      <c r="M14" s="9">
        <v>0.5</v>
      </c>
    </row>
    <row r="15" spans="1:13" ht="20.25" customHeight="1">
      <c r="A15" s="6" t="s">
        <v>153</v>
      </c>
      <c r="B15" s="6" t="s">
        <v>154</v>
      </c>
      <c r="C15" s="7" t="s">
        <v>155</v>
      </c>
      <c r="D15" s="6"/>
      <c r="E15" s="6" t="s">
        <v>20</v>
      </c>
      <c r="F15" s="6" t="s">
        <v>20</v>
      </c>
      <c r="G15" s="6" t="s">
        <v>20</v>
      </c>
      <c r="H15" s="6"/>
      <c r="I15" s="6"/>
      <c r="J15" s="6"/>
      <c r="K15" s="8"/>
      <c r="L15" s="8"/>
      <c r="M15" s="8"/>
    </row>
    <row r="16" spans="1:13" ht="20.25" customHeight="1">
      <c r="A16" s="6" t="s">
        <v>156</v>
      </c>
      <c r="B16" s="6" t="s">
        <v>157</v>
      </c>
      <c r="C16" s="7" t="s">
        <v>158</v>
      </c>
      <c r="D16" s="6"/>
      <c r="E16" s="6" t="s">
        <v>20</v>
      </c>
      <c r="F16" s="6" t="s">
        <v>20</v>
      </c>
      <c r="G16" s="6" t="s">
        <v>20</v>
      </c>
      <c r="H16" s="6"/>
      <c r="I16" s="6"/>
      <c r="J16" s="6"/>
      <c r="K16" s="8"/>
      <c r="L16" s="8"/>
      <c r="M16" s="8"/>
    </row>
    <row r="17" spans="1:13" ht="20.25" customHeight="1">
      <c r="A17" s="6" t="s">
        <v>57</v>
      </c>
      <c r="B17" s="6" t="s">
        <v>58</v>
      </c>
      <c r="C17" s="7" t="s">
        <v>59</v>
      </c>
      <c r="D17" s="6" t="s">
        <v>60</v>
      </c>
      <c r="E17" s="6" t="s">
        <v>13</v>
      </c>
      <c r="F17" s="6" t="s">
        <v>20</v>
      </c>
      <c r="G17" s="6" t="s">
        <v>20</v>
      </c>
      <c r="H17" s="6" t="s">
        <v>21</v>
      </c>
      <c r="I17" s="6"/>
      <c r="J17" s="6"/>
      <c r="K17" s="9">
        <v>0.33</v>
      </c>
      <c r="L17" s="8"/>
      <c r="M17" s="9">
        <v>0.33</v>
      </c>
    </row>
    <row r="18" spans="1:13" ht="20.25" customHeight="1">
      <c r="A18" s="6" t="s">
        <v>61</v>
      </c>
      <c r="B18" s="6" t="s">
        <v>62</v>
      </c>
      <c r="C18" s="7" t="s">
        <v>63</v>
      </c>
      <c r="D18" s="6" t="s">
        <v>60</v>
      </c>
      <c r="E18" s="6" t="s">
        <v>13</v>
      </c>
      <c r="F18" s="6" t="s">
        <v>20</v>
      </c>
      <c r="G18" s="6" t="s">
        <v>20</v>
      </c>
      <c r="H18" s="6" t="s">
        <v>64</v>
      </c>
      <c r="I18" s="6"/>
      <c r="J18" s="6"/>
      <c r="K18" s="8"/>
      <c r="L18" s="8"/>
      <c r="M18" s="8"/>
    </row>
    <row r="19" spans="1:13" ht="20.25" customHeight="1">
      <c r="A19" s="6" t="s">
        <v>65</v>
      </c>
      <c r="B19" s="6" t="s">
        <v>66</v>
      </c>
      <c r="C19" s="7" t="s">
        <v>67</v>
      </c>
      <c r="D19" s="6" t="s">
        <v>60</v>
      </c>
      <c r="E19" s="6" t="s">
        <v>13</v>
      </c>
      <c r="F19" s="6" t="s">
        <v>20</v>
      </c>
      <c r="G19" s="6" t="s">
        <v>20</v>
      </c>
      <c r="H19" s="6" t="s">
        <v>64</v>
      </c>
      <c r="I19" s="6"/>
      <c r="J19" s="6"/>
      <c r="K19" s="8"/>
      <c r="L19" s="8"/>
      <c r="M19" s="8"/>
    </row>
    <row r="20" spans="1:13" ht="20.25" customHeight="1">
      <c r="A20" s="6" t="s">
        <v>68</v>
      </c>
      <c r="B20" s="6" t="s">
        <v>69</v>
      </c>
      <c r="C20" s="7" t="s">
        <v>70</v>
      </c>
      <c r="D20" s="6" t="s">
        <v>60</v>
      </c>
      <c r="E20" s="6" t="s">
        <v>13</v>
      </c>
      <c r="F20" s="6" t="s">
        <v>20</v>
      </c>
      <c r="G20" s="6" t="s">
        <v>20</v>
      </c>
      <c r="H20" s="6" t="s">
        <v>15</v>
      </c>
      <c r="I20" s="6"/>
      <c r="J20" s="6"/>
      <c r="K20" s="8"/>
      <c r="L20" s="8"/>
      <c r="M20" s="8"/>
    </row>
    <row r="21" spans="1:13" ht="20.25" customHeight="1">
      <c r="A21" s="6" t="s">
        <v>71</v>
      </c>
      <c r="B21" s="6" t="s">
        <v>72</v>
      </c>
      <c r="C21" s="7" t="s">
        <v>73</v>
      </c>
      <c r="D21" s="6" t="s">
        <v>74</v>
      </c>
      <c r="E21" s="6" t="s">
        <v>13</v>
      </c>
      <c r="F21" s="6" t="s">
        <v>20</v>
      </c>
      <c r="G21" s="6" t="s">
        <v>20</v>
      </c>
      <c r="H21" s="6" t="s">
        <v>15</v>
      </c>
      <c r="I21" s="6"/>
      <c r="J21" s="6"/>
      <c r="K21" s="8"/>
      <c r="L21" s="8"/>
      <c r="M21" s="8"/>
    </row>
    <row r="22" spans="1:13" ht="20.25" customHeight="1">
      <c r="A22" s="6" t="s">
        <v>75</v>
      </c>
      <c r="B22" s="6" t="s">
        <v>76</v>
      </c>
      <c r="C22" s="7" t="s">
        <v>77</v>
      </c>
      <c r="D22" s="6" t="s">
        <v>78</v>
      </c>
      <c r="E22" s="6" t="s">
        <v>13</v>
      </c>
      <c r="F22" s="6" t="s">
        <v>20</v>
      </c>
      <c r="G22" s="6" t="s">
        <v>13</v>
      </c>
      <c r="H22" s="6"/>
      <c r="I22" s="6" t="s">
        <v>15</v>
      </c>
      <c r="J22" s="6"/>
      <c r="K22" s="8"/>
      <c r="L22" s="9">
        <v>0.17</v>
      </c>
      <c r="M22" s="9">
        <v>0.17</v>
      </c>
    </row>
    <row r="23" spans="1:13" ht="20.25" customHeight="1">
      <c r="A23" s="6" t="s">
        <v>79</v>
      </c>
      <c r="B23" s="6" t="s">
        <v>80</v>
      </c>
      <c r="C23" s="7" t="s">
        <v>81</v>
      </c>
      <c r="D23" s="6" t="s">
        <v>78</v>
      </c>
      <c r="E23" s="6" t="s">
        <v>13</v>
      </c>
      <c r="F23" s="6" t="s">
        <v>20</v>
      </c>
      <c r="G23" s="6" t="s">
        <v>13</v>
      </c>
      <c r="H23" s="6" t="s">
        <v>64</v>
      </c>
      <c r="I23" s="6" t="s">
        <v>15</v>
      </c>
      <c r="J23" s="6"/>
      <c r="K23" s="9">
        <v>0.5</v>
      </c>
      <c r="L23" s="9">
        <v>0.17</v>
      </c>
      <c r="M23" s="9">
        <v>0.67</v>
      </c>
    </row>
    <row r="24" spans="1:13" ht="20.25" customHeight="1">
      <c r="A24" s="6" t="s">
        <v>82</v>
      </c>
      <c r="B24" s="6" t="s">
        <v>83</v>
      </c>
      <c r="C24" s="7" t="s">
        <v>84</v>
      </c>
      <c r="D24" s="6" t="s">
        <v>85</v>
      </c>
      <c r="E24" s="6" t="s">
        <v>13</v>
      </c>
      <c r="F24" s="6" t="s">
        <v>20</v>
      </c>
      <c r="G24" s="6" t="s">
        <v>20</v>
      </c>
      <c r="H24" s="6" t="s">
        <v>15</v>
      </c>
      <c r="I24" s="6"/>
      <c r="J24" s="6"/>
      <c r="K24" s="9">
        <v>0.17</v>
      </c>
      <c r="L24" s="8"/>
      <c r="M24" s="9">
        <v>0.17</v>
      </c>
    </row>
    <row r="25" spans="1:13" ht="20.25" customHeight="1">
      <c r="A25" s="6" t="s">
        <v>86</v>
      </c>
      <c r="B25" s="6" t="s">
        <v>87</v>
      </c>
      <c r="C25" s="7" t="s">
        <v>88</v>
      </c>
      <c r="D25" s="6" t="s">
        <v>85</v>
      </c>
      <c r="E25" s="6" t="s">
        <v>13</v>
      </c>
      <c r="F25" s="6" t="s">
        <v>20</v>
      </c>
      <c r="G25" s="6" t="s">
        <v>20</v>
      </c>
      <c r="H25" s="6" t="s">
        <v>64</v>
      </c>
      <c r="I25" s="6"/>
      <c r="J25" s="6"/>
      <c r="K25" s="9">
        <v>0.5</v>
      </c>
      <c r="L25" s="8"/>
      <c r="M25" s="9">
        <v>0.5</v>
      </c>
    </row>
    <row r="26" spans="1:13" ht="20.25" customHeight="1">
      <c r="A26" s="6" t="s">
        <v>159</v>
      </c>
      <c r="B26" s="6" t="s">
        <v>160</v>
      </c>
      <c r="C26" s="7" t="s">
        <v>161</v>
      </c>
      <c r="D26" s="6"/>
      <c r="E26" s="6" t="s">
        <v>20</v>
      </c>
      <c r="F26" s="6" t="s">
        <v>20</v>
      </c>
      <c r="G26" s="6" t="s">
        <v>20</v>
      </c>
      <c r="H26" s="6"/>
      <c r="I26" s="6"/>
      <c r="J26" s="6"/>
      <c r="K26" s="8"/>
      <c r="L26" s="8"/>
      <c r="M26" s="8"/>
    </row>
    <row r="27" spans="1:13" ht="20.25" customHeight="1">
      <c r="A27" s="6" t="s">
        <v>162</v>
      </c>
      <c r="B27" s="6" t="s">
        <v>163</v>
      </c>
      <c r="C27" s="7" t="s">
        <v>164</v>
      </c>
      <c r="D27" s="6"/>
      <c r="E27" s="6" t="s">
        <v>20</v>
      </c>
      <c r="F27" s="6" t="s">
        <v>20</v>
      </c>
      <c r="G27" s="6" t="s">
        <v>13</v>
      </c>
      <c r="H27" s="6"/>
      <c r="I27" s="6"/>
      <c r="J27" s="6"/>
      <c r="K27" s="8"/>
      <c r="L27" s="9">
        <v>0.33</v>
      </c>
      <c r="M27" s="9">
        <v>0.33</v>
      </c>
    </row>
    <row r="28" spans="1:13" ht="20.25" customHeight="1">
      <c r="A28" s="6" t="s">
        <v>89</v>
      </c>
      <c r="B28" s="6" t="s">
        <v>90</v>
      </c>
      <c r="C28" s="6" t="s">
        <v>91</v>
      </c>
      <c r="D28" s="6" t="s">
        <v>92</v>
      </c>
      <c r="E28" s="6" t="s">
        <v>13</v>
      </c>
      <c r="F28" s="6" t="s">
        <v>20</v>
      </c>
      <c r="G28" s="6" t="s">
        <v>13</v>
      </c>
      <c r="H28" s="6" t="s">
        <v>93</v>
      </c>
      <c r="I28" s="6"/>
      <c r="J28" s="6"/>
      <c r="K28" s="9">
        <v>2</v>
      </c>
      <c r="L28" s="8"/>
      <c r="M28" s="9">
        <v>2</v>
      </c>
    </row>
    <row r="29" spans="1:13" ht="20.25" customHeight="1">
      <c r="A29" s="6" t="s">
        <v>94</v>
      </c>
      <c r="B29" s="6" t="s">
        <v>95</v>
      </c>
      <c r="C29" s="6" t="s">
        <v>96</v>
      </c>
      <c r="D29" s="6" t="s">
        <v>97</v>
      </c>
      <c r="E29" s="6" t="s">
        <v>13</v>
      </c>
      <c r="F29" s="6" t="s">
        <v>20</v>
      </c>
      <c r="G29" s="6" t="s">
        <v>13</v>
      </c>
      <c r="H29" s="6" t="s">
        <v>93</v>
      </c>
      <c r="I29" s="6"/>
      <c r="J29" s="6"/>
      <c r="K29" s="9">
        <v>2</v>
      </c>
      <c r="L29" s="8"/>
      <c r="M29" s="9">
        <v>2</v>
      </c>
    </row>
    <row r="30" spans="1:13" ht="20.25" customHeight="1">
      <c r="A30" s="6" t="s">
        <v>98</v>
      </c>
      <c r="B30" s="6" t="s">
        <v>99</v>
      </c>
      <c r="C30" s="7" t="s">
        <v>100</v>
      </c>
      <c r="D30" s="6" t="s">
        <v>101</v>
      </c>
      <c r="E30" s="6" t="s">
        <v>13</v>
      </c>
      <c r="F30" s="6" t="s">
        <v>20</v>
      </c>
      <c r="G30" s="6" t="s">
        <v>20</v>
      </c>
      <c r="H30" s="6" t="s">
        <v>64</v>
      </c>
      <c r="I30" s="6"/>
      <c r="J30" s="6"/>
      <c r="K30" s="8"/>
      <c r="L30" s="8"/>
      <c r="M30" s="8"/>
    </row>
    <row r="31" spans="1:13" ht="20.25" customHeight="1">
      <c r="A31" s="6" t="s">
        <v>102</v>
      </c>
      <c r="B31" s="6" t="s">
        <v>103</v>
      </c>
      <c r="C31" s="7" t="s">
        <v>104</v>
      </c>
      <c r="D31" s="6" t="s">
        <v>101</v>
      </c>
      <c r="E31" s="6" t="s">
        <v>13</v>
      </c>
      <c r="F31" s="6" t="s">
        <v>20</v>
      </c>
      <c r="G31" s="6" t="s">
        <v>20</v>
      </c>
      <c r="H31" s="6" t="s">
        <v>21</v>
      </c>
      <c r="I31" s="6"/>
      <c r="J31" s="6"/>
      <c r="K31" s="9">
        <v>0.33</v>
      </c>
      <c r="L31" s="9">
        <v>0.17</v>
      </c>
      <c r="M31" s="9">
        <v>0.5</v>
      </c>
    </row>
    <row r="32" spans="1:13" ht="20.25" customHeight="1">
      <c r="A32" s="6" t="s">
        <v>165</v>
      </c>
      <c r="B32" s="6" t="s">
        <v>166</v>
      </c>
      <c r="C32" s="7" t="s">
        <v>167</v>
      </c>
      <c r="D32" s="6"/>
      <c r="E32" s="6" t="s">
        <v>20</v>
      </c>
      <c r="F32" s="6" t="s">
        <v>20</v>
      </c>
      <c r="G32" s="6" t="s">
        <v>20</v>
      </c>
      <c r="H32" s="6"/>
      <c r="I32" s="6"/>
      <c r="J32" s="6"/>
      <c r="K32" s="8"/>
      <c r="L32" s="8"/>
      <c r="M32" s="8"/>
    </row>
    <row r="33" spans="1:13" ht="20.25" customHeight="1">
      <c r="A33" s="6" t="s">
        <v>105</v>
      </c>
      <c r="B33" s="6" t="s">
        <v>106</v>
      </c>
      <c r="C33" s="7" t="s">
        <v>107</v>
      </c>
      <c r="D33" s="6" t="s">
        <v>108</v>
      </c>
      <c r="E33" s="6" t="s">
        <v>13</v>
      </c>
      <c r="F33" s="6" t="s">
        <v>20</v>
      </c>
      <c r="G33" s="6" t="s">
        <v>13</v>
      </c>
      <c r="H33" s="6" t="s">
        <v>21</v>
      </c>
      <c r="I33" s="6" t="s">
        <v>15</v>
      </c>
      <c r="J33" s="6"/>
      <c r="K33" s="9">
        <v>0.33</v>
      </c>
      <c r="L33" s="9">
        <v>0.17</v>
      </c>
      <c r="M33" s="9">
        <v>0.5</v>
      </c>
    </row>
    <row r="34" spans="1:13" ht="20.25" customHeight="1">
      <c r="A34" s="6" t="s">
        <v>109</v>
      </c>
      <c r="B34" s="6" t="s">
        <v>110</v>
      </c>
      <c r="C34" s="7" t="s">
        <v>111</v>
      </c>
      <c r="D34" s="6" t="s">
        <v>112</v>
      </c>
      <c r="E34" s="6" t="s">
        <v>20</v>
      </c>
      <c r="F34" s="6" t="s">
        <v>20</v>
      </c>
      <c r="G34" s="6" t="s">
        <v>20</v>
      </c>
      <c r="H34" s="6" t="s">
        <v>113</v>
      </c>
      <c r="I34" s="6"/>
      <c r="J34" s="6"/>
      <c r="K34" s="9">
        <v>5</v>
      </c>
      <c r="L34" s="8"/>
      <c r="M34" s="9">
        <v>5</v>
      </c>
    </row>
    <row r="35" spans="1:13" ht="20.25" customHeight="1">
      <c r="A35" s="6" t="s">
        <v>114</v>
      </c>
      <c r="B35" s="6" t="s">
        <v>115</v>
      </c>
      <c r="C35" s="6" t="s">
        <v>116</v>
      </c>
      <c r="D35" s="6" t="s">
        <v>117</v>
      </c>
      <c r="E35" s="6" t="s">
        <v>13</v>
      </c>
      <c r="F35" s="6" t="s">
        <v>20</v>
      </c>
      <c r="G35" s="6" t="s">
        <v>13</v>
      </c>
      <c r="H35" s="6" t="s">
        <v>15</v>
      </c>
      <c r="I35" s="6" t="s">
        <v>15</v>
      </c>
      <c r="J35" s="6"/>
      <c r="K35" s="9">
        <v>0.17</v>
      </c>
      <c r="L35" s="9">
        <v>0.17</v>
      </c>
      <c r="M35" s="9">
        <v>0.34</v>
      </c>
    </row>
    <row r="36" spans="1:13" ht="20.25" customHeight="1">
      <c r="A36" s="6" t="s">
        <v>118</v>
      </c>
      <c r="B36" s="6" t="s">
        <v>119</v>
      </c>
      <c r="C36" s="6" t="s">
        <v>168</v>
      </c>
      <c r="D36" s="6" t="s">
        <v>121</v>
      </c>
      <c r="E36" s="6" t="s">
        <v>13</v>
      </c>
      <c r="F36" s="6" t="s">
        <v>20</v>
      </c>
      <c r="G36" s="6" t="s">
        <v>13</v>
      </c>
      <c r="H36" s="6" t="s">
        <v>93</v>
      </c>
      <c r="I36" s="6" t="s">
        <v>15</v>
      </c>
      <c r="J36" s="6"/>
      <c r="K36" s="9">
        <v>2</v>
      </c>
      <c r="L36" s="9">
        <v>0.02</v>
      </c>
      <c r="M36" s="9">
        <v>2.02</v>
      </c>
    </row>
    <row r="37" spans="1:13" ht="20.25" customHeight="1">
      <c r="A37" s="6" t="s">
        <v>122</v>
      </c>
      <c r="B37" s="6" t="s">
        <v>123</v>
      </c>
      <c r="C37" s="6" t="s">
        <v>124</v>
      </c>
      <c r="D37" s="6" t="s">
        <v>125</v>
      </c>
      <c r="E37" s="6" t="s">
        <v>13</v>
      </c>
      <c r="F37" s="6" t="s">
        <v>20</v>
      </c>
      <c r="G37" s="6" t="s">
        <v>13</v>
      </c>
      <c r="H37" s="6" t="s">
        <v>126</v>
      </c>
      <c r="I37" s="6"/>
      <c r="J37" s="6"/>
      <c r="K37" s="9">
        <v>1</v>
      </c>
      <c r="L37" s="8"/>
      <c r="M37" s="9">
        <v>1</v>
      </c>
    </row>
    <row r="38" spans="1:13" ht="20.25" customHeight="1">
      <c r="A38" s="6" t="s">
        <v>127</v>
      </c>
      <c r="B38" s="6" t="s">
        <v>128</v>
      </c>
      <c r="C38" s="7" t="s">
        <v>129</v>
      </c>
      <c r="D38" s="6" t="s">
        <v>125</v>
      </c>
      <c r="E38" s="6" t="s">
        <v>20</v>
      </c>
      <c r="F38" s="6" t="s">
        <v>20</v>
      </c>
      <c r="G38" s="6" t="s">
        <v>13</v>
      </c>
      <c r="H38" s="6"/>
      <c r="I38" s="6" t="s">
        <v>126</v>
      </c>
      <c r="J38" s="6"/>
      <c r="K38" s="8"/>
      <c r="L38" s="9">
        <v>1</v>
      </c>
      <c r="M38" s="9">
        <v>1</v>
      </c>
    </row>
    <row r="39" spans="1:13" ht="20.25" customHeight="1">
      <c r="A39" s="6" t="s">
        <v>130</v>
      </c>
      <c r="B39" s="6" t="s">
        <v>131</v>
      </c>
      <c r="C39" s="6" t="s">
        <v>132</v>
      </c>
      <c r="D39" s="6" t="s">
        <v>133</v>
      </c>
      <c r="E39" s="6" t="s">
        <v>13</v>
      </c>
      <c r="F39" s="6" t="s">
        <v>20</v>
      </c>
      <c r="G39" s="6" t="s">
        <v>13</v>
      </c>
      <c r="H39" s="6" t="s">
        <v>134</v>
      </c>
      <c r="I39" s="6" t="s">
        <v>135</v>
      </c>
      <c r="J39" s="6"/>
      <c r="K39" s="9">
        <v>1</v>
      </c>
      <c r="L39" s="9">
        <v>2</v>
      </c>
      <c r="M39" s="9">
        <v>3</v>
      </c>
    </row>
    <row r="40" spans="1:13" ht="20.25" customHeight="1">
      <c r="A40" s="6" t="s">
        <v>169</v>
      </c>
      <c r="B40" s="6" t="s">
        <v>137</v>
      </c>
      <c r="C40" s="7" t="s">
        <v>138</v>
      </c>
      <c r="D40" s="6" t="s">
        <v>139</v>
      </c>
      <c r="E40" s="6" t="s">
        <v>20</v>
      </c>
      <c r="F40" s="6" t="s">
        <v>20</v>
      </c>
      <c r="G40" s="6" t="s">
        <v>13</v>
      </c>
      <c r="H40" s="6"/>
      <c r="I40" s="6" t="s">
        <v>93</v>
      </c>
      <c r="J40" s="6"/>
      <c r="K40" s="8"/>
      <c r="L40" s="9">
        <v>2</v>
      </c>
      <c r="M40" s="9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2026-05-01T15:10:55Z</dcterms:modified>
</cp:coreProperties>
</file>