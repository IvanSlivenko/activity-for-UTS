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2" activeTab="6"/>
  </bookViews>
  <sheets>
    <sheet name="Факт_Січень_2019" sheetId="1" r:id="rId1"/>
    <sheet name="План_Січень_2019" sheetId="2" r:id="rId2"/>
    <sheet name="План_Січень_2019 (2)" sheetId="4" r:id="rId3"/>
    <sheet name="План_Січень_2019 (3)" sheetId="6" r:id="rId4"/>
    <sheet name="План_Лютий_2019" sheetId="3" r:id="rId5"/>
    <sheet name="План_Лютий_2019 (2)" sheetId="5" r:id="rId6"/>
    <sheet name="План_Лютий_2019 (3)" sheetId="7" r:id="rId7"/>
  </sheets>
  <calcPr calcId="145621"/>
</workbook>
</file>

<file path=xl/calcChain.xml><?xml version="1.0" encoding="utf-8"?>
<calcChain xmlns="http://schemas.openxmlformats.org/spreadsheetml/2006/main">
  <c r="S6" i="7" l="1"/>
  <c r="S4" i="7"/>
  <c r="S14" i="7"/>
  <c r="Q17" i="7"/>
  <c r="S10" i="7"/>
  <c r="S12" i="7"/>
  <c r="S9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M62" i="7"/>
  <c r="L62" i="7"/>
  <c r="K62" i="7"/>
  <c r="N62" i="7" s="1"/>
  <c r="M61" i="7"/>
  <c r="L61" i="7"/>
  <c r="K61" i="7"/>
  <c r="N61" i="7" s="1"/>
  <c r="M60" i="7"/>
  <c r="L60" i="7"/>
  <c r="K60" i="7"/>
  <c r="N60" i="7" s="1"/>
  <c r="M59" i="7"/>
  <c r="L59" i="7"/>
  <c r="K59" i="7"/>
  <c r="N59" i="7" s="1"/>
  <c r="M58" i="7"/>
  <c r="L58" i="7"/>
  <c r="K58" i="7"/>
  <c r="N58" i="7" s="1"/>
  <c r="M57" i="7"/>
  <c r="L57" i="7"/>
  <c r="K57" i="7"/>
  <c r="N57" i="7" s="1"/>
  <c r="M56" i="7"/>
  <c r="L56" i="7"/>
  <c r="K56" i="7"/>
  <c r="N56" i="7" s="1"/>
  <c r="M55" i="7"/>
  <c r="L55" i="7"/>
  <c r="K55" i="7"/>
  <c r="N55" i="7" s="1"/>
  <c r="M54" i="7"/>
  <c r="L54" i="7"/>
  <c r="K54" i="7"/>
  <c r="N54" i="7" s="1"/>
  <c r="M53" i="7"/>
  <c r="L53" i="7"/>
  <c r="K53" i="7"/>
  <c r="N53" i="7" s="1"/>
  <c r="M52" i="7"/>
  <c r="L52" i="7"/>
  <c r="K52" i="7"/>
  <c r="N52" i="7" s="1"/>
  <c r="M51" i="7"/>
  <c r="L51" i="7"/>
  <c r="K51" i="7"/>
  <c r="N51" i="7" s="1"/>
  <c r="M50" i="7"/>
  <c r="L50" i="7"/>
  <c r="K50" i="7"/>
  <c r="N50" i="7" s="1"/>
  <c r="M49" i="7"/>
  <c r="L49" i="7"/>
  <c r="K49" i="7"/>
  <c r="N49" i="7" s="1"/>
  <c r="M48" i="7"/>
  <c r="L48" i="7"/>
  <c r="K48" i="7"/>
  <c r="N48" i="7" s="1"/>
  <c r="M47" i="7"/>
  <c r="L47" i="7"/>
  <c r="K47" i="7"/>
  <c r="N47" i="7" s="1"/>
  <c r="M46" i="7"/>
  <c r="L46" i="7"/>
  <c r="K46" i="7"/>
  <c r="N46" i="7" s="1"/>
  <c r="M45" i="7"/>
  <c r="L45" i="7"/>
  <c r="K45" i="7"/>
  <c r="N45" i="7" s="1"/>
  <c r="M44" i="7"/>
  <c r="L44" i="7"/>
  <c r="K44" i="7"/>
  <c r="N44" i="7" s="1"/>
  <c r="M43" i="7"/>
  <c r="L43" i="7"/>
  <c r="K43" i="7"/>
  <c r="N43" i="7" s="1"/>
  <c r="M42" i="7"/>
  <c r="L42" i="7"/>
  <c r="K42" i="7"/>
  <c r="N42" i="7" s="1"/>
  <c r="M41" i="7"/>
  <c r="L41" i="7"/>
  <c r="K41" i="7"/>
  <c r="N41" i="7" s="1"/>
  <c r="M40" i="7"/>
  <c r="L40" i="7"/>
  <c r="K40" i="7"/>
  <c r="N40" i="7" s="1"/>
  <c r="M39" i="7"/>
  <c r="L39" i="7"/>
  <c r="K39" i="7"/>
  <c r="N39" i="7" s="1"/>
  <c r="M38" i="7"/>
  <c r="L38" i="7"/>
  <c r="K38" i="7"/>
  <c r="N38" i="7" s="1"/>
  <c r="M37" i="7"/>
  <c r="L37" i="7"/>
  <c r="K37" i="7"/>
  <c r="N37" i="7" s="1"/>
  <c r="M36" i="7"/>
  <c r="L36" i="7"/>
  <c r="K36" i="7"/>
  <c r="N36" i="7" s="1"/>
  <c r="M35" i="7"/>
  <c r="L35" i="7"/>
  <c r="K35" i="7"/>
  <c r="N35" i="7" s="1"/>
  <c r="M34" i="7"/>
  <c r="L34" i="7"/>
  <c r="K34" i="7"/>
  <c r="N34" i="7" s="1"/>
  <c r="M33" i="7"/>
  <c r="L33" i="7"/>
  <c r="K33" i="7"/>
  <c r="N33" i="7" s="1"/>
  <c r="M32" i="7"/>
  <c r="L32" i="7"/>
  <c r="K32" i="7"/>
  <c r="N32" i="7" s="1"/>
  <c r="M31" i="7"/>
  <c r="L31" i="7"/>
  <c r="K31" i="7"/>
  <c r="N31" i="7" s="1"/>
  <c r="M30" i="7"/>
  <c r="L30" i="7"/>
  <c r="K30" i="7"/>
  <c r="N30" i="7" s="1"/>
  <c r="M29" i="7"/>
  <c r="L29" i="7"/>
  <c r="K29" i="7"/>
  <c r="N29" i="7" s="1"/>
  <c r="M28" i="7"/>
  <c r="L28" i="7"/>
  <c r="K28" i="7"/>
  <c r="N28" i="7" s="1"/>
  <c r="M27" i="7"/>
  <c r="L27" i="7"/>
  <c r="K27" i="7"/>
  <c r="N27" i="7" s="1"/>
  <c r="M26" i="7"/>
  <c r="L26" i="7"/>
  <c r="K26" i="7"/>
  <c r="N26" i="7" s="1"/>
  <c r="M25" i="7"/>
  <c r="L25" i="7"/>
  <c r="K25" i="7"/>
  <c r="N25" i="7" s="1"/>
  <c r="M24" i="7"/>
  <c r="L24" i="7"/>
  <c r="K24" i="7"/>
  <c r="N24" i="7" s="1"/>
  <c r="M23" i="7"/>
  <c r="L23" i="7"/>
  <c r="K23" i="7"/>
  <c r="N23" i="7" s="1"/>
  <c r="M22" i="7"/>
  <c r="L22" i="7"/>
  <c r="K22" i="7"/>
  <c r="N22" i="7" s="1"/>
  <c r="M21" i="7"/>
  <c r="L21" i="7"/>
  <c r="K21" i="7"/>
  <c r="N21" i="7" s="1"/>
  <c r="M20" i="7"/>
  <c r="L20" i="7"/>
  <c r="K20" i="7"/>
  <c r="N20" i="7" s="1"/>
  <c r="M19" i="7"/>
  <c r="L19" i="7"/>
  <c r="K19" i="7"/>
  <c r="N19" i="7" s="1"/>
  <c r="M18" i="7"/>
  <c r="L18" i="7"/>
  <c r="K18" i="7"/>
  <c r="N18" i="7" s="1"/>
  <c r="M17" i="7"/>
  <c r="L17" i="7"/>
  <c r="K17" i="7"/>
  <c r="N17" i="7" s="1"/>
  <c r="M16" i="7"/>
  <c r="L16" i="7"/>
  <c r="K16" i="7"/>
  <c r="N16" i="7" s="1"/>
  <c r="M15" i="7"/>
  <c r="L15" i="7"/>
  <c r="K15" i="7"/>
  <c r="N15" i="7" s="1"/>
  <c r="M14" i="7"/>
  <c r="L14" i="7"/>
  <c r="K14" i="7"/>
  <c r="N14" i="7" s="1"/>
  <c r="M13" i="7"/>
  <c r="L13" i="7"/>
  <c r="K13" i="7"/>
  <c r="N13" i="7" s="1"/>
  <c r="M12" i="7"/>
  <c r="L12" i="7"/>
  <c r="K12" i="7"/>
  <c r="N12" i="7" s="1"/>
  <c r="M11" i="7"/>
  <c r="L11" i="7"/>
  <c r="K11" i="7"/>
  <c r="N11" i="7" s="1"/>
  <c r="M10" i="7"/>
  <c r="L10" i="7"/>
  <c r="K10" i="7"/>
  <c r="N10" i="7" s="1"/>
  <c r="M9" i="7"/>
  <c r="L9" i="7"/>
  <c r="K9" i="7"/>
  <c r="N9" i="7" s="1"/>
  <c r="M8" i="7"/>
  <c r="L8" i="7"/>
  <c r="K8" i="7"/>
  <c r="N8" i="7" s="1"/>
  <c r="M7" i="7"/>
  <c r="L7" i="7"/>
  <c r="K7" i="7"/>
  <c r="N7" i="7" s="1"/>
  <c r="M6" i="7"/>
  <c r="L6" i="7"/>
  <c r="K6" i="7"/>
  <c r="N6" i="7" s="1"/>
  <c r="M5" i="7"/>
  <c r="L5" i="7"/>
  <c r="K5" i="7"/>
  <c r="N5" i="7" s="1"/>
  <c r="M4" i="7"/>
  <c r="L4" i="7"/>
  <c r="K4" i="7"/>
  <c r="N4" i="7" s="1"/>
  <c r="M3" i="7"/>
  <c r="L3" i="7"/>
  <c r="K3" i="7"/>
  <c r="N3" i="7" s="1"/>
  <c r="M2" i="7"/>
  <c r="L2" i="7"/>
  <c r="K2" i="7"/>
  <c r="O34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N62" i="6"/>
  <c r="M62" i="6"/>
  <c r="L62" i="6"/>
  <c r="N61" i="6"/>
  <c r="M61" i="6"/>
  <c r="O61" i="6" s="1"/>
  <c r="L61" i="6"/>
  <c r="N60" i="6"/>
  <c r="M60" i="6"/>
  <c r="L60" i="6"/>
  <c r="N59" i="6"/>
  <c r="M59" i="6"/>
  <c r="L59" i="6"/>
  <c r="N58" i="6"/>
  <c r="M58" i="6"/>
  <c r="O58" i="6" s="1"/>
  <c r="L58" i="6"/>
  <c r="N57" i="6"/>
  <c r="M57" i="6"/>
  <c r="L57" i="6"/>
  <c r="O57" i="6" s="1"/>
  <c r="N56" i="6"/>
  <c r="M56" i="6"/>
  <c r="L56" i="6"/>
  <c r="N55" i="6"/>
  <c r="M55" i="6"/>
  <c r="L55" i="6"/>
  <c r="N54" i="6"/>
  <c r="M54" i="6"/>
  <c r="L54" i="6"/>
  <c r="N53" i="6"/>
  <c r="M53" i="6"/>
  <c r="O53" i="6" s="1"/>
  <c r="L53" i="6"/>
  <c r="N52" i="6"/>
  <c r="M52" i="6"/>
  <c r="L52" i="6"/>
  <c r="N51" i="6"/>
  <c r="M51" i="6"/>
  <c r="L51" i="6"/>
  <c r="N50" i="6"/>
  <c r="O50" i="6" s="1"/>
  <c r="M50" i="6"/>
  <c r="L50" i="6"/>
  <c r="N49" i="6"/>
  <c r="M49" i="6"/>
  <c r="L49" i="6"/>
  <c r="O49" i="6" s="1"/>
  <c r="N48" i="6"/>
  <c r="M48" i="6"/>
  <c r="L48" i="6"/>
  <c r="N47" i="6"/>
  <c r="M47" i="6"/>
  <c r="L47" i="6"/>
  <c r="N46" i="6"/>
  <c r="M46" i="6"/>
  <c r="L46" i="6"/>
  <c r="N45" i="6"/>
  <c r="M45" i="6"/>
  <c r="O45" i="6" s="1"/>
  <c r="L45" i="6"/>
  <c r="N44" i="6"/>
  <c r="M44" i="6"/>
  <c r="L44" i="6"/>
  <c r="N43" i="6"/>
  <c r="M43" i="6"/>
  <c r="L43" i="6"/>
  <c r="N42" i="6"/>
  <c r="M42" i="6"/>
  <c r="O42" i="6" s="1"/>
  <c r="L42" i="6"/>
  <c r="N41" i="6"/>
  <c r="M41" i="6"/>
  <c r="L41" i="6"/>
  <c r="O41" i="6" s="1"/>
  <c r="N40" i="6"/>
  <c r="M40" i="6"/>
  <c r="L40" i="6"/>
  <c r="N39" i="6"/>
  <c r="M39" i="6"/>
  <c r="L39" i="6"/>
  <c r="N38" i="6"/>
  <c r="M38" i="6"/>
  <c r="L38" i="6"/>
  <c r="N37" i="6"/>
  <c r="M37" i="6"/>
  <c r="O37" i="6" s="1"/>
  <c r="L37" i="6"/>
  <c r="N36" i="6"/>
  <c r="M36" i="6"/>
  <c r="L36" i="6"/>
  <c r="N35" i="6"/>
  <c r="M35" i="6"/>
  <c r="L35" i="6"/>
  <c r="N34" i="6"/>
  <c r="M34" i="6"/>
  <c r="L34" i="6"/>
  <c r="N33" i="6"/>
  <c r="M33" i="6"/>
  <c r="L33" i="6"/>
  <c r="N32" i="6"/>
  <c r="M32" i="6"/>
  <c r="L32" i="6"/>
  <c r="N31" i="6"/>
  <c r="M31" i="6"/>
  <c r="L31" i="6"/>
  <c r="N30" i="6"/>
  <c r="M30" i="6"/>
  <c r="L30" i="6"/>
  <c r="N29" i="6"/>
  <c r="M29" i="6"/>
  <c r="O29" i="6" s="1"/>
  <c r="L29" i="6"/>
  <c r="N28" i="6"/>
  <c r="M28" i="6"/>
  <c r="L28" i="6"/>
  <c r="N27" i="6"/>
  <c r="M27" i="6"/>
  <c r="L27" i="6"/>
  <c r="N26" i="6"/>
  <c r="M26" i="6"/>
  <c r="O26" i="6" s="1"/>
  <c r="L26" i="6"/>
  <c r="N25" i="6"/>
  <c r="M25" i="6"/>
  <c r="L25" i="6"/>
  <c r="N24" i="6"/>
  <c r="M24" i="6"/>
  <c r="L24" i="6"/>
  <c r="N23" i="6"/>
  <c r="M23" i="6"/>
  <c r="L23" i="6"/>
  <c r="N22" i="6"/>
  <c r="M22" i="6"/>
  <c r="L22" i="6"/>
  <c r="N21" i="6"/>
  <c r="M21" i="6"/>
  <c r="O21" i="6" s="1"/>
  <c r="L21" i="6"/>
  <c r="N20" i="6"/>
  <c r="M20" i="6"/>
  <c r="L20" i="6"/>
  <c r="N19" i="6"/>
  <c r="M19" i="6"/>
  <c r="L19" i="6"/>
  <c r="N18" i="6"/>
  <c r="O18" i="6" s="1"/>
  <c r="M18" i="6"/>
  <c r="L18" i="6"/>
  <c r="N17" i="6"/>
  <c r="M17" i="6"/>
  <c r="L17" i="6"/>
  <c r="N16" i="6"/>
  <c r="M16" i="6"/>
  <c r="L16" i="6"/>
  <c r="N15" i="6"/>
  <c r="M15" i="6"/>
  <c r="L15" i="6"/>
  <c r="N14" i="6"/>
  <c r="M14" i="6"/>
  <c r="L14" i="6"/>
  <c r="N13" i="6"/>
  <c r="M13" i="6"/>
  <c r="O13" i="6" s="1"/>
  <c r="L13" i="6"/>
  <c r="N12" i="6"/>
  <c r="M12" i="6"/>
  <c r="L12" i="6"/>
  <c r="N11" i="6"/>
  <c r="M11" i="6"/>
  <c r="L11" i="6"/>
  <c r="N10" i="6"/>
  <c r="M10" i="6"/>
  <c r="O10" i="6" s="1"/>
  <c r="L10" i="6"/>
  <c r="N9" i="6"/>
  <c r="M9" i="6"/>
  <c r="L9" i="6"/>
  <c r="N8" i="6"/>
  <c r="M8" i="6"/>
  <c r="L8" i="6"/>
  <c r="N7" i="6"/>
  <c r="M7" i="6"/>
  <c r="L7" i="6"/>
  <c r="N6" i="6"/>
  <c r="M6" i="6"/>
  <c r="L6" i="6"/>
  <c r="N5" i="6"/>
  <c r="M5" i="6"/>
  <c r="O5" i="6" s="1"/>
  <c r="L5" i="6"/>
  <c r="Q4" i="6"/>
  <c r="N4" i="6"/>
  <c r="M4" i="6"/>
  <c r="L4" i="6"/>
  <c r="N3" i="6"/>
  <c r="M3" i="6"/>
  <c r="L3" i="6"/>
  <c r="N2" i="6"/>
  <c r="M2" i="6"/>
  <c r="L2" i="6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M13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P4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O7" i="6" l="1"/>
  <c r="O11" i="6"/>
  <c r="O15" i="6"/>
  <c r="O19" i="6"/>
  <c r="O23" i="6"/>
  <c r="O27" i="6"/>
  <c r="O31" i="6"/>
  <c r="O35" i="6"/>
  <c r="O39" i="6"/>
  <c r="O43" i="6"/>
  <c r="O47" i="6"/>
  <c r="O51" i="6"/>
  <c r="O55" i="6"/>
  <c r="O59" i="6"/>
  <c r="O6" i="6"/>
  <c r="O14" i="6"/>
  <c r="O22" i="6"/>
  <c r="O30" i="6"/>
  <c r="O38" i="6"/>
  <c r="O46" i="6"/>
  <c r="O54" i="6"/>
  <c r="O62" i="6"/>
  <c r="O4" i="6"/>
  <c r="O9" i="6"/>
  <c r="O17" i="6"/>
  <c r="O25" i="6"/>
  <c r="O33" i="6"/>
  <c r="O3" i="6"/>
  <c r="O8" i="6"/>
  <c r="O12" i="6"/>
  <c r="O16" i="6"/>
  <c r="O20" i="6"/>
  <c r="O24" i="6"/>
  <c r="O28" i="6"/>
  <c r="O32" i="6"/>
  <c r="O36" i="6"/>
  <c r="O40" i="6"/>
  <c r="O44" i="6"/>
  <c r="O48" i="6"/>
  <c r="O52" i="6"/>
  <c r="O56" i="6"/>
  <c r="O60" i="6"/>
  <c r="M4" i="5"/>
  <c r="M8" i="5"/>
  <c r="M12" i="5"/>
  <c r="M17" i="5"/>
  <c r="M21" i="5"/>
  <c r="M25" i="5"/>
  <c r="M29" i="5"/>
  <c r="M33" i="5"/>
  <c r="M37" i="5"/>
  <c r="M41" i="5"/>
  <c r="M45" i="5"/>
  <c r="M49" i="5"/>
  <c r="M53" i="5"/>
  <c r="M57" i="5"/>
  <c r="M61" i="5"/>
  <c r="M3" i="5"/>
  <c r="M7" i="5"/>
  <c r="M11" i="5"/>
  <c r="M16" i="5"/>
  <c r="M20" i="5"/>
  <c r="M24" i="5"/>
  <c r="M28" i="5"/>
  <c r="M32" i="5"/>
  <c r="M36" i="5"/>
  <c r="M40" i="5"/>
  <c r="M44" i="5"/>
  <c r="M48" i="5"/>
  <c r="M52" i="5"/>
  <c r="M56" i="5"/>
  <c r="M60" i="5"/>
  <c r="M6" i="5"/>
  <c r="M10" i="5"/>
  <c r="M15" i="5"/>
  <c r="M19" i="5"/>
  <c r="M23" i="5"/>
  <c r="M27" i="5"/>
  <c r="M31" i="5"/>
  <c r="M35" i="5"/>
  <c r="M39" i="5"/>
  <c r="M43" i="5"/>
  <c r="M47" i="5"/>
  <c r="M51" i="5"/>
  <c r="M55" i="5"/>
  <c r="M59" i="5"/>
  <c r="M5" i="5"/>
  <c r="M9" i="5"/>
  <c r="M14" i="5"/>
  <c r="M18" i="5"/>
  <c r="M22" i="5"/>
  <c r="M26" i="5"/>
  <c r="M30" i="5"/>
  <c r="M34" i="5"/>
  <c r="M38" i="5"/>
  <c r="M42" i="5"/>
  <c r="M46" i="5"/>
  <c r="M50" i="5"/>
  <c r="M54" i="5"/>
  <c r="M58" i="5"/>
  <c r="M62" i="5"/>
  <c r="N4" i="4"/>
  <c r="N8" i="4"/>
  <c r="N12" i="4"/>
  <c r="N16" i="4"/>
  <c r="N20" i="4"/>
  <c r="N24" i="4"/>
  <c r="N28" i="4"/>
  <c r="N32" i="4"/>
  <c r="N36" i="4"/>
  <c r="N40" i="4"/>
  <c r="N44" i="4"/>
  <c r="N48" i="4"/>
  <c r="N52" i="4"/>
  <c r="N56" i="4"/>
  <c r="N60" i="4"/>
  <c r="N3" i="4"/>
  <c r="N7" i="4"/>
  <c r="N15" i="4"/>
  <c r="N19" i="4"/>
  <c r="N23" i="4"/>
  <c r="N27" i="4"/>
  <c r="N31" i="4"/>
  <c r="N35" i="4"/>
  <c r="N39" i="4"/>
  <c r="N43" i="4"/>
  <c r="N47" i="4"/>
  <c r="N51" i="4"/>
  <c r="N55" i="4"/>
  <c r="N59" i="4"/>
  <c r="N11" i="4"/>
  <c r="N6" i="4"/>
  <c r="N10" i="4"/>
  <c r="N14" i="4"/>
  <c r="N18" i="4"/>
  <c r="N22" i="4"/>
  <c r="N26" i="4"/>
  <c r="N30" i="4"/>
  <c r="N34" i="4"/>
  <c r="N38" i="4"/>
  <c r="N42" i="4"/>
  <c r="N46" i="4"/>
  <c r="N50" i="4"/>
  <c r="N54" i="4"/>
  <c r="N58" i="4"/>
  <c r="N62" i="4"/>
  <c r="N5" i="4"/>
  <c r="N9" i="4"/>
  <c r="N13" i="4"/>
  <c r="N17" i="4"/>
  <c r="N21" i="4"/>
  <c r="N25" i="4"/>
  <c r="N29" i="4"/>
  <c r="N33" i="4"/>
  <c r="N37" i="4"/>
  <c r="N41" i="4"/>
  <c r="N45" i="4"/>
  <c r="N49" i="4"/>
  <c r="N53" i="4"/>
  <c r="N57" i="4"/>
  <c r="N61" i="4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2" i="3"/>
  <c r="K2" i="3"/>
  <c r="J2" i="3"/>
  <c r="L26" i="1"/>
  <c r="K26" i="1"/>
  <c r="J26" i="1"/>
  <c r="K22" i="1"/>
  <c r="T17" i="1"/>
  <c r="R17" i="1"/>
  <c r="T19" i="1"/>
  <c r="T18" i="1"/>
  <c r="T16" i="1"/>
  <c r="T15" i="1"/>
  <c r="T14" i="1"/>
  <c r="T13" i="1"/>
  <c r="R19" i="1"/>
  <c r="R18" i="1"/>
  <c r="R16" i="1"/>
  <c r="R15" i="1"/>
  <c r="R14" i="1"/>
  <c r="R13" i="1"/>
  <c r="P19" i="1"/>
  <c r="P18" i="1"/>
  <c r="P17" i="1"/>
  <c r="P16" i="1"/>
  <c r="P15" i="1"/>
  <c r="P14" i="1"/>
  <c r="P13" i="1"/>
  <c r="T4" i="1"/>
  <c r="T5" i="1"/>
  <c r="T6" i="1"/>
  <c r="T7" i="1"/>
  <c r="T8" i="1"/>
  <c r="T9" i="1"/>
  <c r="T10" i="1"/>
  <c r="T11" i="1"/>
  <c r="R4" i="1"/>
  <c r="R5" i="1"/>
  <c r="R6" i="1"/>
  <c r="R7" i="1"/>
  <c r="R8" i="1"/>
  <c r="R9" i="1"/>
  <c r="R10" i="1"/>
  <c r="R11" i="1"/>
  <c r="P4" i="1"/>
  <c r="U4" i="1" s="1"/>
  <c r="V4" i="1" s="1"/>
  <c r="P5" i="1"/>
  <c r="U5" i="1" s="1"/>
  <c r="V5" i="1" s="1"/>
  <c r="P6" i="1"/>
  <c r="U6" i="1" s="1"/>
  <c r="V6" i="1" s="1"/>
  <c r="P7" i="1"/>
  <c r="P8" i="1"/>
  <c r="P9" i="1"/>
  <c r="U9" i="1" s="1"/>
  <c r="V9" i="1" s="1"/>
  <c r="P10" i="1"/>
  <c r="U10" i="1" s="1"/>
  <c r="V10" i="1" s="1"/>
  <c r="P11" i="1"/>
  <c r="U11" i="1" s="1"/>
  <c r="V11" i="1" s="1"/>
  <c r="T12" i="1"/>
  <c r="P12" i="1"/>
  <c r="R12" i="1"/>
  <c r="U12" i="1" l="1"/>
  <c r="U7" i="1"/>
  <c r="V7" i="1" s="1"/>
  <c r="U8" i="1"/>
  <c r="V8" i="1" s="1"/>
  <c r="U13" i="1"/>
  <c r="V13" i="1" s="1"/>
  <c r="U16" i="1"/>
  <c r="V16" i="1" s="1"/>
  <c r="U17" i="1"/>
  <c r="V17" i="1" s="1"/>
  <c r="U19" i="1"/>
  <c r="V19" i="1" s="1"/>
  <c r="U14" i="1"/>
  <c r="V14" i="1" s="1"/>
  <c r="U18" i="1"/>
  <c r="V18" i="1" s="1"/>
  <c r="U15" i="1"/>
  <c r="V15" i="1" s="1"/>
  <c r="V12" i="1"/>
</calcChain>
</file>

<file path=xl/sharedStrings.xml><?xml version="1.0" encoding="utf-8"?>
<sst xmlns="http://schemas.openxmlformats.org/spreadsheetml/2006/main" count="444" uniqueCount="94">
  <si>
    <t>ПІП</t>
  </si>
  <si>
    <t>Годин</t>
  </si>
  <si>
    <t>Днів</t>
  </si>
  <si>
    <t>ставка</t>
  </si>
  <si>
    <t>CRM</t>
  </si>
  <si>
    <t>ОП Всього</t>
  </si>
  <si>
    <t>ОП січень 2018</t>
  </si>
  <si>
    <t>Вар ст 6500</t>
  </si>
  <si>
    <t>Проект ОП</t>
  </si>
  <si>
    <t>ОП Колектива</t>
  </si>
  <si>
    <t>ОП Мен</t>
  </si>
  <si>
    <t>Байда Вікторія</t>
  </si>
  <si>
    <t>Бобер Анжеліка</t>
  </si>
  <si>
    <t>Бондарчук Аня</t>
  </si>
  <si>
    <t>Голомовза О.</t>
  </si>
  <si>
    <t>Вишневський В.</t>
  </si>
  <si>
    <t>Кучеренко Л.</t>
  </si>
  <si>
    <t>Соломко Ірина</t>
  </si>
  <si>
    <t>Шаговська Ніна</t>
  </si>
  <si>
    <t>Коваленко Юлія</t>
  </si>
  <si>
    <t>Буць Катерина</t>
  </si>
  <si>
    <t>Палій Валентина</t>
  </si>
  <si>
    <t>Горпиченко Ольга</t>
  </si>
  <si>
    <t>Корчинська Вікторія</t>
  </si>
  <si>
    <t>Шкапенко  Вікторія</t>
  </si>
  <si>
    <t>Дрич Ю.</t>
  </si>
  <si>
    <t>Дума Ірина</t>
  </si>
  <si>
    <t>Еф Визиты</t>
  </si>
  <si>
    <t>Задания</t>
  </si>
  <si>
    <t>Заказы</t>
  </si>
  <si>
    <t>N</t>
  </si>
  <si>
    <t>Ответственный</t>
  </si>
  <si>
    <t>Визиты</t>
  </si>
  <si>
    <t>Еф визиты</t>
  </si>
  <si>
    <t>Планы</t>
  </si>
  <si>
    <t>Отказы</t>
  </si>
  <si>
    <t>Шкапенко Віка</t>
  </si>
  <si>
    <t>Коваленко Юля</t>
  </si>
  <si>
    <t>Байда Віка</t>
  </si>
  <si>
    <t>Горпинченко Оля</t>
  </si>
  <si>
    <t>Дрич Юля</t>
  </si>
  <si>
    <t>Дума Іра</t>
  </si>
  <si>
    <t>Палій Валя</t>
  </si>
  <si>
    <t>Корчинська Віка</t>
  </si>
  <si>
    <t>Буць Катя</t>
  </si>
  <si>
    <t>Кучеренко Люда</t>
  </si>
  <si>
    <t>Голомовза Альона</t>
  </si>
  <si>
    <t>Соломко Іра</t>
  </si>
  <si>
    <t>Козуля Коля</t>
  </si>
  <si>
    <t>Вишневський Віталій</t>
  </si>
  <si>
    <t>Арнацька Олександра</t>
  </si>
  <si>
    <t>Погорілець Альона</t>
  </si>
  <si>
    <t>Доленко Валентин</t>
  </si>
  <si>
    <t>Латковський Сергій</t>
  </si>
  <si>
    <t>Август Андрій</t>
  </si>
  <si>
    <t>Крачок Олександр</t>
  </si>
  <si>
    <t>Сас Станіслав</t>
  </si>
  <si>
    <t>Дамаскіна Віта</t>
  </si>
  <si>
    <t>Баранцевич Олексій</t>
  </si>
  <si>
    <t>Носатюк Олена</t>
  </si>
  <si>
    <t>Романенко Єдуард</t>
  </si>
  <si>
    <t>Нижник Валентина</t>
  </si>
  <si>
    <t>Мельник Микола</t>
  </si>
  <si>
    <t>Дмитрук Тарас</t>
  </si>
  <si>
    <t>Поліщук Анастасія</t>
  </si>
  <si>
    <t>Скоб Василь</t>
  </si>
  <si>
    <t>Кошелко Яна</t>
  </si>
  <si>
    <t>Білик Віталій</t>
  </si>
  <si>
    <t>Не авторизован</t>
  </si>
  <si>
    <t>Администратор</t>
  </si>
  <si>
    <t>Осадченко Ирина</t>
  </si>
  <si>
    <t>Кузьменко Ярослав</t>
  </si>
  <si>
    <t>Радківська Марина</t>
  </si>
  <si>
    <t>Дубіна Світлана</t>
  </si>
  <si>
    <t>Мазура Ігор</t>
  </si>
  <si>
    <t>Соломко Олексій</t>
  </si>
  <si>
    <t>Юсіна Софія</t>
  </si>
  <si>
    <t>СтеповаЗлата</t>
  </si>
  <si>
    <t>Степова Злата</t>
  </si>
  <si>
    <t>Каплун Наталія</t>
  </si>
  <si>
    <t>Шнира Катерина</t>
  </si>
  <si>
    <t>Немировська Марина</t>
  </si>
  <si>
    <t>Кулеша Вікторія</t>
  </si>
  <si>
    <t>Сєнцова Кароліна</t>
  </si>
  <si>
    <t>Запорощук Еліна</t>
  </si>
  <si>
    <t>Затиральна Аня</t>
  </si>
  <si>
    <t>Декарчук Іра</t>
  </si>
  <si>
    <t>Кучерявий Михайло</t>
  </si>
  <si>
    <t>Чубань Ольга</t>
  </si>
  <si>
    <t>Панченко Віка</t>
  </si>
  <si>
    <t>Бондаренко Лєна</t>
  </si>
  <si>
    <t>Нижник Марина</t>
  </si>
  <si>
    <t>Мельник Жанна</t>
  </si>
  <si>
    <t>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</si>
</sst>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rgb="FF0070C0"/>
      <name val="Arial"/>
      <family val="2"/>
      <charset val="204"/>
    </font>
    <font>
      <sz val="11"/>
      <color rgb="FF0070C0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5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7" fillId="0" borderId="0"/>
  </cellStyleXfs>
  <cellXfs count="38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/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3" fontId="2" fillId="0" borderId="1" xfId="1" applyNumberForma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 wrapText="1"/>
    </xf>
    <xf numFmtId="3" fontId="2" fillId="0" borderId="1" xfId="1" applyNumberFormat="1" applyBorder="1"/>
    <xf numFmtId="3" fontId="4" fillId="0" borderId="1" xfId="1" applyNumberFormat="1" applyFont="1" applyBorder="1"/>
    <xf numFmtId="0" fontId="2" fillId="0" borderId="1" xfId="1" applyFill="1" applyBorder="1"/>
    <xf numFmtId="0" fontId="2" fillId="4" borderId="1" xfId="1" applyFill="1" applyBorder="1"/>
    <xf numFmtId="3" fontId="2" fillId="0" borderId="1" xfId="1" applyNumberFormat="1" applyFill="1" applyBorder="1"/>
    <xf numFmtId="3" fontId="4" fillId="0" borderId="1" xfId="1" applyNumberFormat="1" applyFont="1" applyFill="1" applyBorder="1"/>
    <xf numFmtId="3" fontId="2" fillId="3" borderId="1" xfId="1" applyNumberFormat="1" applyFill="1" applyBorder="1"/>
    <xf numFmtId="3" fontId="2" fillId="5" borderId="1" xfId="1" applyNumberFormat="1" applyFill="1" applyBorder="1"/>
    <xf numFmtId="0" fontId="5" fillId="4" borderId="1" xfId="1" applyFont="1" applyFill="1" applyBorder="1"/>
    <xf numFmtId="0" fontId="5" fillId="0" borderId="1" xfId="1" applyFont="1" applyFill="1" applyBorder="1"/>
    <xf numFmtId="0" fontId="5" fillId="0" borderId="1" xfId="1" applyFont="1" applyBorder="1"/>
    <xf numFmtId="3" fontId="5" fillId="3" borderId="1" xfId="1" applyNumberFormat="1" applyFont="1" applyFill="1" applyBorder="1"/>
    <xf numFmtId="3" fontId="5" fillId="0" borderId="1" xfId="1" applyNumberFormat="1" applyFont="1" applyBorder="1"/>
    <xf numFmtId="0" fontId="6" fillId="0" borderId="0" xfId="0" applyFont="1"/>
    <xf numFmtId="0" fontId="6" fillId="3" borderId="0" xfId="0" applyFont="1" applyFill="1"/>
    <xf numFmtId="3" fontId="6" fillId="0" borderId="0" xfId="0" applyNumberFormat="1" applyFont="1"/>
    <xf numFmtId="3" fontId="2" fillId="0" borderId="2" xfId="1" applyNumberFormat="1" applyFill="1" applyBorder="1"/>
    <xf numFmtId="3" fontId="4" fillId="0" borderId="0" xfId="1" applyNumberFormat="1" applyFont="1" applyFill="1" applyBorder="1"/>
    <xf numFmtId="0" fontId="8" fillId="6" borderId="3" xfId="2" applyNumberFormat="1" applyFont="1" applyFill="1" applyBorder="1" applyAlignment="1">
      <alignment horizontal="left" vertical="top"/>
    </xf>
    <xf numFmtId="1" fontId="9" fillId="6" borderId="3" xfId="2" applyNumberFormat="1" applyFont="1" applyFill="1" applyBorder="1" applyAlignment="1">
      <alignment horizontal="right" vertical="top"/>
    </xf>
    <xf numFmtId="0" fontId="9" fillId="6" borderId="3" xfId="2" applyNumberFormat="1" applyFont="1" applyFill="1" applyBorder="1" applyAlignment="1">
      <alignment horizontal="left" vertical="top"/>
    </xf>
    <xf numFmtId="0" fontId="8" fillId="6" borderId="3" xfId="3" applyNumberFormat="1" applyFont="1" applyFill="1" applyBorder="1" applyAlignment="1">
      <alignment horizontal="left" vertical="top"/>
    </xf>
    <xf numFmtId="1" fontId="9" fillId="6" borderId="3" xfId="3" applyNumberFormat="1" applyFont="1" applyFill="1" applyBorder="1" applyAlignment="1">
      <alignment horizontal="right" vertical="top"/>
    </xf>
    <xf numFmtId="0" fontId="9" fillId="6" borderId="3" xfId="3" applyNumberFormat="1" applyFont="1" applyFill="1" applyBorder="1" applyAlignment="1">
      <alignment horizontal="left" vertical="top"/>
    </xf>
    <xf numFmtId="0" fontId="10" fillId="6" borderId="3" xfId="3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3" fontId="1" fillId="0" borderId="0" xfId="0" applyNumberFormat="1" applyFont="1" applyAlignment="1">
      <alignment horizontal="center"/>
    </xf>
    <xf numFmtId="3" fontId="0" fillId="3" borderId="0" xfId="0" applyNumberFormat="1" applyFill="1"/>
  </cellXfs>
  <cellStyles count="4">
    <cellStyle name="Обычный" xfId="0" builtinId="0"/>
    <cellStyle name="Обычный 2" xfId="1"/>
    <cellStyle name="Обычный_План_Лютий_2019" xfId="3"/>
    <cellStyle name="Обычный_План_Січень_2019" xfId="2"/>
  </cellStyles>
  <dxfs count="3">
    <dxf>
      <font>
        <condense val="0"/>
        <extend val="0"/>
        <color indexed="9"/>
      </font>
    </dxf>
    <dxf>
      <fill>
        <patternFill>
          <bgColor indexed="42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6"/>
  <sheetViews>
    <sheetView workbookViewId="0">
      <selection activeCell="D22" sqref="D22"/>
    </sheetView>
  </sheetViews>
  <sheetFormatPr defaultRowHeight="15" x14ac:dyDescent="0.25"/>
  <cols>
    <col min="1" max="1" width="1.42578125" customWidth="1"/>
    <col min="2" max="2" width="16.85546875" customWidth="1"/>
    <col min="3" max="3" width="8" customWidth="1"/>
    <col min="4" max="4" width="6.7109375" customWidth="1"/>
    <col min="14" max="14" width="2.5703125" customWidth="1"/>
    <col min="15" max="15" width="11.5703125" customWidth="1"/>
    <col min="16" max="16" width="7.28515625" customWidth="1"/>
    <col min="19" max="19" width="7" customWidth="1"/>
    <col min="21" max="21" width="7.85546875" customWidth="1"/>
  </cols>
  <sheetData>
    <row r="1" spans="2:22" x14ac:dyDescent="0.25">
      <c r="O1">
        <v>10</v>
      </c>
      <c r="Q1">
        <v>20</v>
      </c>
      <c r="S1">
        <v>50</v>
      </c>
    </row>
    <row r="2" spans="2:22" ht="38.25" x14ac:dyDescent="0.25">
      <c r="B2" s="1" t="s">
        <v>0</v>
      </c>
      <c r="C2" s="3" t="s">
        <v>1</v>
      </c>
      <c r="D2" s="4" t="s">
        <v>2</v>
      </c>
      <c r="E2" s="1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6"/>
      <c r="K2" s="7" t="s">
        <v>8</v>
      </c>
      <c r="L2" s="8" t="s">
        <v>9</v>
      </c>
      <c r="M2" s="8" t="s">
        <v>10</v>
      </c>
      <c r="O2" t="s">
        <v>27</v>
      </c>
      <c r="Q2" t="s">
        <v>28</v>
      </c>
      <c r="S2" t="s">
        <v>29</v>
      </c>
    </row>
    <row r="3" spans="2:22" x14ac:dyDescent="0.25">
      <c r="B3" s="2"/>
      <c r="C3" s="2"/>
      <c r="D3" s="2"/>
      <c r="E3" s="2"/>
      <c r="F3" s="9"/>
      <c r="G3" s="9"/>
      <c r="H3" s="10"/>
      <c r="I3" s="10"/>
      <c r="J3" s="10"/>
      <c r="K3" s="9"/>
      <c r="L3" s="9"/>
      <c r="M3" s="9"/>
    </row>
    <row r="4" spans="2:22" x14ac:dyDescent="0.25">
      <c r="B4" s="2" t="s">
        <v>11</v>
      </c>
      <c r="C4" s="11">
        <v>136</v>
      </c>
      <c r="D4" s="2">
        <v>16</v>
      </c>
      <c r="E4" s="2">
        <v>3428.5714285714284</v>
      </c>
      <c r="F4" s="15">
        <v>2390</v>
      </c>
      <c r="G4" s="9">
        <v>5818.5714285714284</v>
      </c>
      <c r="H4" s="10"/>
      <c r="I4" s="10">
        <v>4952.3809523809523</v>
      </c>
      <c r="J4" s="10">
        <v>847.61904761904771</v>
      </c>
      <c r="K4" s="9">
        <v>5800</v>
      </c>
      <c r="L4" s="9">
        <v>5800</v>
      </c>
      <c r="M4" s="9"/>
      <c r="P4" s="23">
        <f t="shared" ref="P4:P11" si="0">O4*$O$1</f>
        <v>0</v>
      </c>
      <c r="R4" s="23">
        <f t="shared" ref="R4:R11" si="1">Q4*$Q$1</f>
        <v>0</v>
      </c>
      <c r="T4" s="23">
        <f t="shared" ref="T4:T11" si="2">S4*$S$1</f>
        <v>0</v>
      </c>
      <c r="U4" s="22">
        <f t="shared" ref="U4:U11" si="3">T4+R4+P4</f>
        <v>0</v>
      </c>
      <c r="V4" s="24">
        <f t="shared" ref="V4:V11" si="4">U4-F4</f>
        <v>-2390</v>
      </c>
    </row>
    <row r="5" spans="2:22" x14ac:dyDescent="0.25">
      <c r="B5" s="2" t="s">
        <v>12</v>
      </c>
      <c r="C5" s="11">
        <v>159</v>
      </c>
      <c r="D5" s="2">
        <v>18</v>
      </c>
      <c r="E5" s="2">
        <v>3857.1428571428569</v>
      </c>
      <c r="F5" s="16">
        <v>2215</v>
      </c>
      <c r="G5" s="9">
        <v>6072.1428571428569</v>
      </c>
      <c r="H5" s="10"/>
      <c r="I5" s="10">
        <v>5571.4285714285716</v>
      </c>
      <c r="J5" s="10">
        <v>528.57142857142844</v>
      </c>
      <c r="K5" s="9">
        <v>6100</v>
      </c>
      <c r="L5" s="9">
        <v>6100</v>
      </c>
      <c r="M5" s="9"/>
      <c r="P5" s="23">
        <f t="shared" si="0"/>
        <v>0</v>
      </c>
      <c r="R5" s="23">
        <f t="shared" si="1"/>
        <v>0</v>
      </c>
      <c r="T5" s="23">
        <f t="shared" si="2"/>
        <v>0</v>
      </c>
      <c r="U5" s="22">
        <f t="shared" si="3"/>
        <v>0</v>
      </c>
      <c r="V5" s="24">
        <f t="shared" si="4"/>
        <v>-2215</v>
      </c>
    </row>
    <row r="6" spans="2:22" x14ac:dyDescent="0.25">
      <c r="B6" s="2" t="s">
        <v>13</v>
      </c>
      <c r="C6" s="11">
        <v>110</v>
      </c>
      <c r="D6" s="2">
        <v>13</v>
      </c>
      <c r="E6" s="2">
        <v>2785.7142857142858</v>
      </c>
      <c r="F6" s="16">
        <v>2045</v>
      </c>
      <c r="G6" s="9">
        <v>4830.7142857142862</v>
      </c>
      <c r="H6" s="10"/>
      <c r="I6" s="10">
        <v>4023.8095238095239</v>
      </c>
      <c r="J6" s="10">
        <v>776.19047619047615</v>
      </c>
      <c r="K6" s="9">
        <v>4800</v>
      </c>
      <c r="L6" s="9">
        <v>5000</v>
      </c>
      <c r="M6" s="9"/>
      <c r="P6" s="23">
        <f t="shared" si="0"/>
        <v>0</v>
      </c>
      <c r="R6" s="23">
        <f t="shared" si="1"/>
        <v>0</v>
      </c>
      <c r="T6" s="23">
        <f t="shared" si="2"/>
        <v>0</v>
      </c>
      <c r="U6" s="22">
        <f t="shared" si="3"/>
        <v>0</v>
      </c>
      <c r="V6" s="24">
        <f t="shared" si="4"/>
        <v>-2045</v>
      </c>
    </row>
    <row r="7" spans="2:22" x14ac:dyDescent="0.25">
      <c r="B7" s="2" t="s">
        <v>14</v>
      </c>
      <c r="C7" s="11">
        <v>0</v>
      </c>
      <c r="D7" s="2">
        <v>0</v>
      </c>
      <c r="E7" s="2">
        <v>0</v>
      </c>
      <c r="F7" s="9">
        <v>1350</v>
      </c>
      <c r="G7" s="9">
        <v>1350</v>
      </c>
      <c r="H7" s="10"/>
      <c r="I7" s="10">
        <v>0</v>
      </c>
      <c r="J7" s="10">
        <v>0</v>
      </c>
      <c r="K7" s="9">
        <v>0</v>
      </c>
      <c r="L7" s="9"/>
      <c r="M7" s="9">
        <v>7000</v>
      </c>
      <c r="P7" s="23">
        <f t="shared" si="0"/>
        <v>0</v>
      </c>
      <c r="R7" s="23">
        <f t="shared" si="1"/>
        <v>0</v>
      </c>
      <c r="T7" s="23">
        <f t="shared" si="2"/>
        <v>0</v>
      </c>
      <c r="U7" s="22">
        <f t="shared" si="3"/>
        <v>0</v>
      </c>
      <c r="V7" s="24">
        <f t="shared" si="4"/>
        <v>-1350</v>
      </c>
    </row>
    <row r="8" spans="2:22" x14ac:dyDescent="0.25">
      <c r="B8" s="2" t="s">
        <v>15</v>
      </c>
      <c r="C8" s="11">
        <v>0</v>
      </c>
      <c r="D8" s="2">
        <v>0</v>
      </c>
      <c r="E8" s="2">
        <v>0</v>
      </c>
      <c r="F8" s="9">
        <v>760</v>
      </c>
      <c r="G8" s="9">
        <v>760</v>
      </c>
      <c r="H8" s="10"/>
      <c r="I8" s="10">
        <v>0</v>
      </c>
      <c r="J8" s="10">
        <v>0</v>
      </c>
      <c r="K8" s="9">
        <v>0</v>
      </c>
      <c r="L8" s="9"/>
      <c r="M8" s="9">
        <v>5000</v>
      </c>
      <c r="P8" s="23">
        <f t="shared" si="0"/>
        <v>0</v>
      </c>
      <c r="R8" s="23">
        <f t="shared" si="1"/>
        <v>0</v>
      </c>
      <c r="T8" s="23">
        <f t="shared" si="2"/>
        <v>0</v>
      </c>
      <c r="U8" s="22">
        <f t="shared" si="3"/>
        <v>0</v>
      </c>
      <c r="V8" s="24">
        <f t="shared" si="4"/>
        <v>-760</v>
      </c>
    </row>
    <row r="9" spans="2:22" x14ac:dyDescent="0.25">
      <c r="B9" s="2" t="s">
        <v>16</v>
      </c>
      <c r="C9" s="11">
        <v>170</v>
      </c>
      <c r="D9" s="2">
        <v>20</v>
      </c>
      <c r="E9" s="2">
        <v>4285.7142857142853</v>
      </c>
      <c r="F9" s="13">
        <v>1395</v>
      </c>
      <c r="G9" s="9">
        <v>5680.7142857142853</v>
      </c>
      <c r="H9" s="14"/>
      <c r="I9" s="10">
        <v>6190.4761904761908</v>
      </c>
      <c r="J9" s="10"/>
      <c r="K9" s="13">
        <v>6500</v>
      </c>
      <c r="L9" s="13"/>
      <c r="M9" s="13">
        <v>6500</v>
      </c>
      <c r="P9" s="23">
        <f t="shared" si="0"/>
        <v>0</v>
      </c>
      <c r="R9" s="23">
        <f t="shared" si="1"/>
        <v>0</v>
      </c>
      <c r="T9" s="23">
        <f t="shared" si="2"/>
        <v>0</v>
      </c>
      <c r="U9" s="22">
        <f t="shared" si="3"/>
        <v>0</v>
      </c>
      <c r="V9" s="24">
        <f t="shared" si="4"/>
        <v>-1395</v>
      </c>
    </row>
    <row r="10" spans="2:22" x14ac:dyDescent="0.25">
      <c r="B10" s="12" t="s">
        <v>17</v>
      </c>
      <c r="C10" s="11">
        <v>72</v>
      </c>
      <c r="D10" s="2">
        <v>8</v>
      </c>
      <c r="E10" s="2">
        <v>1714.2857142857142</v>
      </c>
      <c r="F10" s="9">
        <v>1285</v>
      </c>
      <c r="G10" s="9">
        <v>2999.2857142857142</v>
      </c>
      <c r="H10" s="10"/>
      <c r="I10" s="10">
        <v>2476.1904761904761</v>
      </c>
      <c r="J10" s="10"/>
      <c r="K10" s="9">
        <v>6000</v>
      </c>
      <c r="L10" s="9"/>
      <c r="M10" s="9">
        <v>6000</v>
      </c>
      <c r="P10" s="23">
        <f t="shared" si="0"/>
        <v>0</v>
      </c>
      <c r="R10" s="23">
        <f t="shared" si="1"/>
        <v>0</v>
      </c>
      <c r="T10" s="23">
        <f t="shared" si="2"/>
        <v>0</v>
      </c>
      <c r="U10" s="22">
        <f t="shared" si="3"/>
        <v>0</v>
      </c>
      <c r="V10" s="24">
        <f t="shared" si="4"/>
        <v>-1285</v>
      </c>
    </row>
    <row r="11" spans="2:22" x14ac:dyDescent="0.25">
      <c r="B11" s="12" t="s">
        <v>18</v>
      </c>
      <c r="C11" s="11">
        <v>145</v>
      </c>
      <c r="D11" s="2">
        <v>17</v>
      </c>
      <c r="E11" s="2">
        <v>3642.8571428571427</v>
      </c>
      <c r="F11" s="9">
        <v>1245</v>
      </c>
      <c r="G11" s="9">
        <v>4887.8571428571431</v>
      </c>
      <c r="H11" s="10"/>
      <c r="I11" s="10">
        <v>5261.9047619047615</v>
      </c>
      <c r="J11" s="10"/>
      <c r="K11" s="9"/>
      <c r="L11" s="9"/>
      <c r="M11" s="9">
        <v>8000</v>
      </c>
      <c r="P11" s="23">
        <f t="shared" si="0"/>
        <v>0</v>
      </c>
      <c r="R11" s="23">
        <f t="shared" si="1"/>
        <v>0</v>
      </c>
      <c r="T11" s="23">
        <f t="shared" si="2"/>
        <v>0</v>
      </c>
      <c r="U11" s="22">
        <f t="shared" si="3"/>
        <v>0</v>
      </c>
      <c r="V11" s="24">
        <f t="shared" si="4"/>
        <v>-1245</v>
      </c>
    </row>
    <row r="12" spans="2:22" s="22" customFormat="1" x14ac:dyDescent="0.25">
      <c r="B12" s="17" t="s">
        <v>19</v>
      </c>
      <c r="C12" s="18">
        <v>159.30000000000001</v>
      </c>
      <c r="D12" s="19">
        <v>18</v>
      </c>
      <c r="E12" s="19">
        <v>3857.1428571428569</v>
      </c>
      <c r="F12" s="20">
        <v>2635</v>
      </c>
      <c r="G12" s="21">
        <v>6492.1428571428569</v>
      </c>
      <c r="H12" s="21"/>
      <c r="I12" s="21">
        <v>5571.4285714285716</v>
      </c>
      <c r="J12" s="21">
        <v>928.57142857142844</v>
      </c>
      <c r="K12" s="21">
        <v>6500</v>
      </c>
      <c r="L12" s="21"/>
      <c r="M12" s="21">
        <v>6500</v>
      </c>
      <c r="O12" s="22">
        <v>243</v>
      </c>
      <c r="P12" s="23">
        <f>O12*$O$1</f>
        <v>2430</v>
      </c>
      <c r="Q12" s="22">
        <v>14</v>
      </c>
      <c r="R12" s="23">
        <f>Q12*$Q$1</f>
        <v>280</v>
      </c>
      <c r="S12" s="22">
        <v>9</v>
      </c>
      <c r="T12" s="23">
        <f>S12*$S$1</f>
        <v>450</v>
      </c>
      <c r="U12" s="22">
        <f>T12+R12+P12</f>
        <v>3160</v>
      </c>
      <c r="V12" s="24">
        <f>U12-F12</f>
        <v>525</v>
      </c>
    </row>
    <row r="13" spans="2:22" x14ac:dyDescent="0.25">
      <c r="B13" s="12" t="s">
        <v>20</v>
      </c>
      <c r="C13" s="11">
        <v>95</v>
      </c>
      <c r="D13" s="2">
        <v>13</v>
      </c>
      <c r="E13" s="2">
        <v>2785.7142857142858</v>
      </c>
      <c r="F13" s="9">
        <v>1360</v>
      </c>
      <c r="G13" s="9">
        <v>4145.7142857142862</v>
      </c>
      <c r="H13" s="10"/>
      <c r="I13" s="10">
        <v>4023.8095238095239</v>
      </c>
      <c r="J13" s="10">
        <v>176.19047619047615</v>
      </c>
      <c r="K13" s="9">
        <v>4200</v>
      </c>
      <c r="L13" s="9"/>
      <c r="M13" s="9">
        <v>5000</v>
      </c>
      <c r="P13" s="23">
        <f t="shared" ref="P13:P19" si="5">O13*$O$1</f>
        <v>0</v>
      </c>
      <c r="R13" s="23">
        <f t="shared" ref="R13:R19" si="6">Q13*$Q$1</f>
        <v>0</v>
      </c>
      <c r="T13" s="23">
        <f t="shared" ref="T13:T19" si="7">S13*$S$1</f>
        <v>0</v>
      </c>
      <c r="U13" s="22">
        <f t="shared" ref="U13:U19" si="8">T13+R13+P13</f>
        <v>0</v>
      </c>
      <c r="V13" s="24">
        <f t="shared" ref="V13:V19" si="9">U13-F13</f>
        <v>-1360</v>
      </c>
    </row>
    <row r="14" spans="2:22" x14ac:dyDescent="0.25">
      <c r="B14" s="12" t="s">
        <v>21</v>
      </c>
      <c r="C14" s="11">
        <v>162</v>
      </c>
      <c r="D14" s="2">
        <v>18</v>
      </c>
      <c r="E14" s="2">
        <v>3857.1428571428569</v>
      </c>
      <c r="F14" s="16">
        <v>2185</v>
      </c>
      <c r="G14" s="9">
        <v>6042.1428571428569</v>
      </c>
      <c r="H14" s="10"/>
      <c r="I14" s="10">
        <v>5571.4285714285716</v>
      </c>
      <c r="J14" s="10">
        <v>528.57142857142844</v>
      </c>
      <c r="K14" s="9">
        <v>6100</v>
      </c>
      <c r="L14" s="9"/>
      <c r="M14" s="9">
        <v>6500</v>
      </c>
      <c r="P14" s="23">
        <f t="shared" si="5"/>
        <v>0</v>
      </c>
      <c r="R14" s="23">
        <f t="shared" si="6"/>
        <v>0</v>
      </c>
      <c r="T14" s="23">
        <f t="shared" si="7"/>
        <v>0</v>
      </c>
      <c r="U14" s="22">
        <f t="shared" si="8"/>
        <v>0</v>
      </c>
      <c r="V14" s="24">
        <f t="shared" si="9"/>
        <v>-2185</v>
      </c>
    </row>
    <row r="15" spans="2:22" x14ac:dyDescent="0.25">
      <c r="B15" s="12" t="s">
        <v>22</v>
      </c>
      <c r="C15" s="11">
        <v>162</v>
      </c>
      <c r="D15" s="2">
        <v>18</v>
      </c>
      <c r="E15" s="2">
        <v>3857.1428571428569</v>
      </c>
      <c r="F15" s="16">
        <v>2305</v>
      </c>
      <c r="G15" s="9">
        <v>6162.1428571428569</v>
      </c>
      <c r="H15" s="10"/>
      <c r="I15" s="10">
        <v>5571.4285714285716</v>
      </c>
      <c r="J15" s="10">
        <v>628.57142857142844</v>
      </c>
      <c r="K15" s="9">
        <v>6200</v>
      </c>
      <c r="L15" s="9"/>
      <c r="M15" s="9">
        <v>6200</v>
      </c>
      <c r="P15" s="23">
        <f t="shared" si="5"/>
        <v>0</v>
      </c>
      <c r="R15" s="23">
        <f t="shared" si="6"/>
        <v>0</v>
      </c>
      <c r="T15" s="23">
        <f t="shared" si="7"/>
        <v>0</v>
      </c>
      <c r="U15" s="22">
        <f t="shared" si="8"/>
        <v>0</v>
      </c>
      <c r="V15" s="24">
        <f t="shared" si="9"/>
        <v>-2305</v>
      </c>
    </row>
    <row r="16" spans="2:22" x14ac:dyDescent="0.25">
      <c r="B16" s="12" t="s">
        <v>23</v>
      </c>
      <c r="C16" s="11">
        <v>180</v>
      </c>
      <c r="D16" s="2">
        <v>21</v>
      </c>
      <c r="E16" s="2">
        <v>4500</v>
      </c>
      <c r="F16" s="9">
        <v>1855</v>
      </c>
      <c r="G16" s="9">
        <v>6355</v>
      </c>
      <c r="H16" s="10"/>
      <c r="I16" s="10">
        <v>6500</v>
      </c>
      <c r="J16" s="10">
        <v>0</v>
      </c>
      <c r="K16" s="9">
        <v>6500</v>
      </c>
      <c r="L16" s="9"/>
      <c r="M16" s="9">
        <v>6500</v>
      </c>
      <c r="P16" s="23">
        <f t="shared" si="5"/>
        <v>0</v>
      </c>
      <c r="R16" s="23">
        <f t="shared" si="6"/>
        <v>0</v>
      </c>
      <c r="T16" s="23">
        <f t="shared" si="7"/>
        <v>0</v>
      </c>
      <c r="U16" s="22">
        <f t="shared" si="8"/>
        <v>0</v>
      </c>
      <c r="V16" s="24">
        <f t="shared" si="9"/>
        <v>-1855</v>
      </c>
    </row>
    <row r="17" spans="2:22" x14ac:dyDescent="0.25">
      <c r="B17" s="12" t="s">
        <v>24</v>
      </c>
      <c r="C17" s="11">
        <v>162</v>
      </c>
      <c r="D17" s="2">
        <v>18</v>
      </c>
      <c r="E17" s="2">
        <v>3857.1428571428569</v>
      </c>
      <c r="F17" s="15">
        <v>2650</v>
      </c>
      <c r="G17" s="9">
        <v>6507.1428571428569</v>
      </c>
      <c r="H17" s="10"/>
      <c r="I17" s="10">
        <v>5571.4285714285716</v>
      </c>
      <c r="J17" s="10">
        <v>928.57142857142844</v>
      </c>
      <c r="K17" s="9">
        <v>6500</v>
      </c>
      <c r="L17" s="9"/>
      <c r="M17" s="9">
        <v>6500</v>
      </c>
      <c r="O17" s="25">
        <v>234</v>
      </c>
      <c r="P17" s="23">
        <f t="shared" si="5"/>
        <v>2340</v>
      </c>
      <c r="Q17">
        <v>13</v>
      </c>
      <c r="R17" s="23">
        <f>Q17*$Q$1</f>
        <v>260</v>
      </c>
      <c r="S17">
        <v>4</v>
      </c>
      <c r="T17" s="23">
        <f>S17*$S$1</f>
        <v>200</v>
      </c>
      <c r="U17" s="22">
        <f t="shared" si="8"/>
        <v>2800</v>
      </c>
      <c r="V17" s="24">
        <f>U17-F17</f>
        <v>150</v>
      </c>
    </row>
    <row r="18" spans="2:22" x14ac:dyDescent="0.25">
      <c r="B18" s="2" t="s">
        <v>25</v>
      </c>
      <c r="C18" s="11">
        <v>158</v>
      </c>
      <c r="D18" s="2">
        <v>18</v>
      </c>
      <c r="E18" s="2">
        <v>3857.1428571428569</v>
      </c>
      <c r="F18" s="16">
        <v>2165</v>
      </c>
      <c r="G18" s="9">
        <v>6022.1428571428569</v>
      </c>
      <c r="H18" s="10"/>
      <c r="I18" s="10">
        <v>5571.4285714285716</v>
      </c>
      <c r="J18" s="10">
        <v>448.57142857142844</v>
      </c>
      <c r="K18" s="9">
        <v>6020</v>
      </c>
      <c r="L18" s="9"/>
      <c r="M18" s="9">
        <v>6020</v>
      </c>
      <c r="P18" s="23">
        <f t="shared" si="5"/>
        <v>0</v>
      </c>
      <c r="R18" s="23">
        <f t="shared" si="6"/>
        <v>0</v>
      </c>
      <c r="T18" s="23">
        <f t="shared" si="7"/>
        <v>0</v>
      </c>
      <c r="U18" s="22">
        <f t="shared" si="8"/>
        <v>0</v>
      </c>
      <c r="V18" s="24">
        <f t="shared" si="9"/>
        <v>-2165</v>
      </c>
    </row>
    <row r="19" spans="2:22" x14ac:dyDescent="0.25">
      <c r="B19" s="2" t="s">
        <v>26</v>
      </c>
      <c r="C19" s="11">
        <v>167</v>
      </c>
      <c r="D19" s="2">
        <v>19</v>
      </c>
      <c r="E19" s="2">
        <v>4071.4285714285711</v>
      </c>
      <c r="F19" s="16">
        <v>2120</v>
      </c>
      <c r="G19" s="9">
        <v>6191.4285714285706</v>
      </c>
      <c r="H19" s="10"/>
      <c r="I19" s="10">
        <v>5880.9523809523807</v>
      </c>
      <c r="J19" s="10">
        <v>319.04761904761926</v>
      </c>
      <c r="K19" s="9">
        <v>6200</v>
      </c>
      <c r="L19" s="9"/>
      <c r="M19" s="9">
        <v>6200</v>
      </c>
      <c r="P19" s="23">
        <f t="shared" si="5"/>
        <v>0</v>
      </c>
      <c r="R19" s="23">
        <f t="shared" si="6"/>
        <v>0</v>
      </c>
      <c r="T19" s="23">
        <f t="shared" si="7"/>
        <v>0</v>
      </c>
      <c r="U19" s="22">
        <f t="shared" si="8"/>
        <v>0</v>
      </c>
      <c r="V19" s="24">
        <f t="shared" si="9"/>
        <v>-2120</v>
      </c>
    </row>
    <row r="22" spans="2:22" x14ac:dyDescent="0.25">
      <c r="I22" s="26">
        <v>20</v>
      </c>
      <c r="J22" s="26">
        <v>5</v>
      </c>
      <c r="K22">
        <f>J22*I22</f>
        <v>100</v>
      </c>
      <c r="O22">
        <v>5</v>
      </c>
    </row>
    <row r="23" spans="2:22" x14ac:dyDescent="0.25">
      <c r="J23" s="26">
        <v>1</v>
      </c>
      <c r="K23">
        <v>20</v>
      </c>
      <c r="O23">
        <v>10</v>
      </c>
    </row>
    <row r="24" spans="2:22" x14ac:dyDescent="0.25">
      <c r="K24">
        <v>25</v>
      </c>
      <c r="O24">
        <v>20</v>
      </c>
    </row>
    <row r="25" spans="2:22" x14ac:dyDescent="0.25">
      <c r="H25">
        <v>200</v>
      </c>
      <c r="I25">
        <v>200</v>
      </c>
      <c r="O25">
        <v>50</v>
      </c>
    </row>
    <row r="26" spans="2:22" x14ac:dyDescent="0.25">
      <c r="J26">
        <f>7000/18</f>
        <v>388.88888888888891</v>
      </c>
      <c r="K26">
        <f>5000/18</f>
        <v>277.77777777777777</v>
      </c>
      <c r="L26">
        <f>J26-K26</f>
        <v>111.11111111111114</v>
      </c>
    </row>
  </sheetData>
  <conditionalFormatting sqref="B15:B19 G9:G10 I9:J10 C9:D19 B2:B13 E9:E10 E10:M19 C4:M8 O17 I22:J22 J23">
    <cfRule type="cellIs" dxfId="2" priority="3" stopIfTrue="1" operator="equal">
      <formula>"В"</formula>
    </cfRule>
  </conditionalFormatting>
  <conditionalFormatting sqref="C2:M19 O17 I22:J22 J23">
    <cfRule type="cellIs" dxfId="1" priority="1" stopIfTrue="1" operator="equal">
      <formula>"В"</formula>
    </cfRule>
    <cfRule type="cellIs" dxfId="0" priority="2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3"/>
  <sheetViews>
    <sheetView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N11" sqref="N11"/>
    </sheetView>
  </sheetViews>
  <sheetFormatPr defaultRowHeight="15" outlineLevelCol="1" x14ac:dyDescent="0.25"/>
  <cols>
    <col min="1" max="1" width="3.140625" customWidth="1"/>
    <col min="2" max="2" width="3.85546875" customWidth="1"/>
    <col min="3" max="3" width="17.42578125" bestFit="1" customWidth="1"/>
    <col min="4" max="4" width="0" hidden="1" customWidth="1" outlineLevel="1"/>
    <col min="5" max="5" width="9.140625" collapsed="1"/>
    <col min="6" max="6" width="0" hidden="1" customWidth="1" outlineLevel="1"/>
    <col min="7" max="7" width="9.140625" collapsed="1"/>
    <col min="9" max="9" width="0" hidden="1" customWidth="1" outlineLevel="1"/>
    <col min="10" max="10" width="9.140625" collapsed="1"/>
    <col min="11" max="13" width="10.5703125" customWidth="1"/>
    <col min="14" max="14" width="9.140625" style="35"/>
  </cols>
  <sheetData>
    <row r="1" spans="2:14" x14ac:dyDescent="0.25">
      <c r="K1">
        <v>10</v>
      </c>
      <c r="L1">
        <v>20</v>
      </c>
      <c r="M1">
        <v>50</v>
      </c>
    </row>
    <row r="2" spans="2:14" x14ac:dyDescent="0.25">
      <c r="B2" s="27" t="s">
        <v>30</v>
      </c>
      <c r="C2" s="27" t="s">
        <v>31</v>
      </c>
      <c r="D2" s="27" t="s">
        <v>32</v>
      </c>
      <c r="E2" s="27" t="s">
        <v>33</v>
      </c>
      <c r="F2" s="27" t="s">
        <v>34</v>
      </c>
      <c r="G2" s="27" t="s">
        <v>28</v>
      </c>
      <c r="H2" s="27" t="s">
        <v>29</v>
      </c>
      <c r="I2" s="27" t="s">
        <v>35</v>
      </c>
      <c r="K2" s="34" t="str">
        <f>E2</f>
        <v>Еф визиты</v>
      </c>
      <c r="L2" s="34" t="str">
        <f>G2</f>
        <v>Задания</v>
      </c>
      <c r="M2" s="34" t="str">
        <f>H2</f>
        <v>Заказы</v>
      </c>
      <c r="N2" s="36" t="s">
        <v>93</v>
      </c>
    </row>
    <row r="3" spans="2:14" x14ac:dyDescent="0.25">
      <c r="B3" s="28">
        <v>1</v>
      </c>
      <c r="C3" s="29" t="s">
        <v>36</v>
      </c>
      <c r="D3" s="28">
        <v>489</v>
      </c>
      <c r="E3" s="28">
        <v>227</v>
      </c>
      <c r="F3" s="28">
        <v>602</v>
      </c>
      <c r="G3" s="28">
        <v>13</v>
      </c>
      <c r="H3" s="28">
        <v>3</v>
      </c>
      <c r="I3" s="28">
        <v>78</v>
      </c>
      <c r="K3">
        <f>E3*$K$1</f>
        <v>2270</v>
      </c>
      <c r="L3">
        <f>G3*$L$1</f>
        <v>260</v>
      </c>
      <c r="M3">
        <f>H3*$M$1</f>
        <v>150</v>
      </c>
      <c r="N3" s="35">
        <f>SUM(K3:M3)</f>
        <v>2680</v>
      </c>
    </row>
    <row r="4" spans="2:14" x14ac:dyDescent="0.25">
      <c r="B4" s="28">
        <v>2</v>
      </c>
      <c r="C4" s="29" t="s">
        <v>37</v>
      </c>
      <c r="D4" s="28">
        <v>468</v>
      </c>
      <c r="E4" s="28">
        <v>243</v>
      </c>
      <c r="F4" s="28">
        <v>258</v>
      </c>
      <c r="G4" s="28">
        <v>12</v>
      </c>
      <c r="H4" s="28">
        <v>7</v>
      </c>
      <c r="I4" s="28">
        <v>44</v>
      </c>
      <c r="K4">
        <f t="shared" ref="K4:K62" si="0">E4*$K$1</f>
        <v>2430</v>
      </c>
      <c r="L4">
        <f t="shared" ref="L4:L62" si="1">G4*$L$1</f>
        <v>240</v>
      </c>
      <c r="M4">
        <f t="shared" ref="M4:M62" si="2">H4*$M$1</f>
        <v>350</v>
      </c>
      <c r="N4" s="35">
        <f t="shared" ref="N4:N62" si="3">SUM(K4:M4)</f>
        <v>3020</v>
      </c>
    </row>
    <row r="5" spans="2:14" x14ac:dyDescent="0.25">
      <c r="B5" s="28">
        <v>3</v>
      </c>
      <c r="C5" s="29" t="s">
        <v>38</v>
      </c>
      <c r="D5" s="28">
        <v>456</v>
      </c>
      <c r="E5" s="28">
        <v>169</v>
      </c>
      <c r="F5" s="28">
        <v>400</v>
      </c>
      <c r="G5" s="28">
        <v>11</v>
      </c>
      <c r="H5" s="29"/>
      <c r="I5" s="28">
        <v>66</v>
      </c>
      <c r="K5">
        <f t="shared" si="0"/>
        <v>1690</v>
      </c>
      <c r="L5">
        <f t="shared" si="1"/>
        <v>220</v>
      </c>
      <c r="M5">
        <f t="shared" si="2"/>
        <v>0</v>
      </c>
      <c r="N5" s="35">
        <f t="shared" si="3"/>
        <v>1910</v>
      </c>
    </row>
    <row r="6" spans="2:14" x14ac:dyDescent="0.25">
      <c r="B6" s="28">
        <v>4</v>
      </c>
      <c r="C6" s="29" t="s">
        <v>39</v>
      </c>
      <c r="D6" s="28">
        <v>423</v>
      </c>
      <c r="E6" s="28">
        <v>196</v>
      </c>
      <c r="F6" s="28">
        <v>341</v>
      </c>
      <c r="G6" s="28">
        <v>9</v>
      </c>
      <c r="H6" s="28">
        <v>4</v>
      </c>
      <c r="I6" s="28">
        <v>103</v>
      </c>
      <c r="K6">
        <f t="shared" si="0"/>
        <v>1960</v>
      </c>
      <c r="L6">
        <f t="shared" si="1"/>
        <v>180</v>
      </c>
      <c r="M6">
        <f t="shared" si="2"/>
        <v>200</v>
      </c>
      <c r="N6" s="35">
        <f t="shared" si="3"/>
        <v>2340</v>
      </c>
    </row>
    <row r="7" spans="2:14" x14ac:dyDescent="0.25">
      <c r="B7" s="28">
        <v>5</v>
      </c>
      <c r="C7" s="29" t="s">
        <v>40</v>
      </c>
      <c r="D7" s="28">
        <v>405</v>
      </c>
      <c r="E7" s="28">
        <v>173</v>
      </c>
      <c r="F7" s="28">
        <v>346</v>
      </c>
      <c r="G7" s="28">
        <v>12</v>
      </c>
      <c r="H7" s="29"/>
      <c r="I7" s="28">
        <v>74</v>
      </c>
      <c r="K7">
        <f t="shared" si="0"/>
        <v>1730</v>
      </c>
      <c r="L7">
        <f t="shared" si="1"/>
        <v>240</v>
      </c>
      <c r="M7">
        <f t="shared" si="2"/>
        <v>0</v>
      </c>
      <c r="N7" s="35">
        <f t="shared" si="3"/>
        <v>1970</v>
      </c>
    </row>
    <row r="8" spans="2:14" x14ac:dyDescent="0.25">
      <c r="B8" s="28">
        <v>6</v>
      </c>
      <c r="C8" s="29" t="s">
        <v>41</v>
      </c>
      <c r="D8" s="28">
        <v>396</v>
      </c>
      <c r="E8" s="28">
        <v>155</v>
      </c>
      <c r="F8" s="28">
        <v>293</v>
      </c>
      <c r="G8" s="28">
        <v>9</v>
      </c>
      <c r="H8" s="28">
        <v>2</v>
      </c>
      <c r="I8" s="28">
        <v>132</v>
      </c>
      <c r="K8">
        <f t="shared" si="0"/>
        <v>1550</v>
      </c>
      <c r="L8">
        <f t="shared" si="1"/>
        <v>180</v>
      </c>
      <c r="M8">
        <f t="shared" si="2"/>
        <v>100</v>
      </c>
      <c r="N8" s="35">
        <f t="shared" si="3"/>
        <v>1830</v>
      </c>
    </row>
    <row r="9" spans="2:14" x14ac:dyDescent="0.25">
      <c r="B9" s="28">
        <v>7</v>
      </c>
      <c r="C9" s="29" t="s">
        <v>13</v>
      </c>
      <c r="D9" s="28">
        <v>395</v>
      </c>
      <c r="E9" s="28">
        <v>126</v>
      </c>
      <c r="F9" s="28">
        <v>349</v>
      </c>
      <c r="G9" s="28">
        <v>7</v>
      </c>
      <c r="H9" s="29"/>
      <c r="I9" s="28">
        <v>54</v>
      </c>
      <c r="K9">
        <f t="shared" si="0"/>
        <v>1260</v>
      </c>
      <c r="L9">
        <f t="shared" si="1"/>
        <v>140</v>
      </c>
      <c r="M9">
        <f t="shared" si="2"/>
        <v>0</v>
      </c>
      <c r="N9" s="35">
        <f t="shared" si="3"/>
        <v>1400</v>
      </c>
    </row>
    <row r="10" spans="2:14" x14ac:dyDescent="0.25">
      <c r="B10" s="28">
        <v>8</v>
      </c>
      <c r="C10" s="29" t="s">
        <v>12</v>
      </c>
      <c r="D10" s="28">
        <v>378</v>
      </c>
      <c r="E10" s="28">
        <v>82</v>
      </c>
      <c r="F10" s="28">
        <v>242</v>
      </c>
      <c r="G10" s="28">
        <v>26</v>
      </c>
      <c r="H10" s="28">
        <v>3</v>
      </c>
      <c r="I10" s="28">
        <v>80</v>
      </c>
      <c r="K10">
        <f t="shared" si="0"/>
        <v>820</v>
      </c>
      <c r="L10">
        <f t="shared" si="1"/>
        <v>520</v>
      </c>
      <c r="M10">
        <f t="shared" si="2"/>
        <v>150</v>
      </c>
      <c r="N10" s="35">
        <f t="shared" si="3"/>
        <v>1490</v>
      </c>
    </row>
    <row r="11" spans="2:14" x14ac:dyDescent="0.25">
      <c r="B11" s="28">
        <v>9</v>
      </c>
      <c r="C11" s="29" t="s">
        <v>42</v>
      </c>
      <c r="D11" s="28">
        <v>373</v>
      </c>
      <c r="E11" s="28">
        <v>165</v>
      </c>
      <c r="F11" s="28">
        <v>196</v>
      </c>
      <c r="G11" s="28">
        <v>17</v>
      </c>
      <c r="H11" s="28">
        <v>6</v>
      </c>
      <c r="I11" s="28">
        <v>123</v>
      </c>
      <c r="K11">
        <f t="shared" si="0"/>
        <v>1650</v>
      </c>
      <c r="L11">
        <f t="shared" si="1"/>
        <v>340</v>
      </c>
      <c r="M11">
        <f t="shared" si="2"/>
        <v>300</v>
      </c>
      <c r="N11" s="35">
        <f t="shared" si="3"/>
        <v>2290</v>
      </c>
    </row>
    <row r="12" spans="2:14" x14ac:dyDescent="0.25">
      <c r="B12" s="28">
        <v>10</v>
      </c>
      <c r="C12" s="29" t="s">
        <v>43</v>
      </c>
      <c r="D12" s="28">
        <v>332</v>
      </c>
      <c r="E12" s="28">
        <v>194</v>
      </c>
      <c r="F12" s="28">
        <v>262</v>
      </c>
      <c r="G12" s="28">
        <v>12</v>
      </c>
      <c r="H12" s="28">
        <v>3</v>
      </c>
      <c r="I12" s="28">
        <v>64</v>
      </c>
      <c r="K12">
        <f t="shared" si="0"/>
        <v>1940</v>
      </c>
      <c r="L12">
        <f t="shared" si="1"/>
        <v>240</v>
      </c>
      <c r="M12">
        <f t="shared" si="2"/>
        <v>150</v>
      </c>
      <c r="N12" s="35">
        <f t="shared" si="3"/>
        <v>2330</v>
      </c>
    </row>
    <row r="13" spans="2:14" x14ac:dyDescent="0.25">
      <c r="B13" s="28">
        <v>11</v>
      </c>
      <c r="C13" s="29" t="s">
        <v>44</v>
      </c>
      <c r="D13" s="28">
        <v>272</v>
      </c>
      <c r="E13" s="28">
        <v>100</v>
      </c>
      <c r="F13" s="28">
        <v>257</v>
      </c>
      <c r="G13" s="29"/>
      <c r="H13" s="29"/>
      <c r="I13" s="28">
        <v>12</v>
      </c>
      <c r="K13">
        <f t="shared" si="0"/>
        <v>1000</v>
      </c>
      <c r="L13">
        <f t="shared" si="1"/>
        <v>0</v>
      </c>
      <c r="M13">
        <f t="shared" si="2"/>
        <v>0</v>
      </c>
      <c r="N13" s="35">
        <f t="shared" si="3"/>
        <v>1000</v>
      </c>
    </row>
    <row r="14" spans="2:14" x14ac:dyDescent="0.25">
      <c r="B14" s="28">
        <v>12</v>
      </c>
      <c r="C14" s="29" t="s">
        <v>45</v>
      </c>
      <c r="D14" s="28">
        <v>256</v>
      </c>
      <c r="E14" s="28">
        <v>63</v>
      </c>
      <c r="F14" s="28">
        <v>333</v>
      </c>
      <c r="G14" s="28">
        <v>11</v>
      </c>
      <c r="H14" s="29"/>
      <c r="I14" s="28">
        <v>168</v>
      </c>
      <c r="K14">
        <f t="shared" si="0"/>
        <v>630</v>
      </c>
      <c r="L14">
        <f t="shared" si="1"/>
        <v>220</v>
      </c>
      <c r="M14">
        <f t="shared" si="2"/>
        <v>0</v>
      </c>
      <c r="N14" s="35">
        <f t="shared" si="3"/>
        <v>850</v>
      </c>
    </row>
    <row r="15" spans="2:14" x14ac:dyDescent="0.25">
      <c r="B15" s="28">
        <v>13</v>
      </c>
      <c r="C15" s="29" t="s">
        <v>46</v>
      </c>
      <c r="D15" s="28">
        <v>252</v>
      </c>
      <c r="E15" s="28">
        <v>86</v>
      </c>
      <c r="F15" s="28">
        <v>142</v>
      </c>
      <c r="G15" s="28">
        <v>4</v>
      </c>
      <c r="H15" s="28">
        <v>2</v>
      </c>
      <c r="I15" s="28">
        <v>3</v>
      </c>
      <c r="K15">
        <f t="shared" si="0"/>
        <v>860</v>
      </c>
      <c r="L15">
        <f t="shared" si="1"/>
        <v>80</v>
      </c>
      <c r="M15">
        <f t="shared" si="2"/>
        <v>100</v>
      </c>
      <c r="N15" s="35">
        <f t="shared" si="3"/>
        <v>1040</v>
      </c>
    </row>
    <row r="16" spans="2:14" x14ac:dyDescent="0.25">
      <c r="B16" s="28">
        <v>14</v>
      </c>
      <c r="C16" s="29" t="s">
        <v>47</v>
      </c>
      <c r="D16" s="28">
        <v>248</v>
      </c>
      <c r="E16" s="28">
        <v>154</v>
      </c>
      <c r="F16" s="28">
        <v>176</v>
      </c>
      <c r="G16" s="28">
        <v>2</v>
      </c>
      <c r="H16" s="28">
        <v>1</v>
      </c>
      <c r="I16" s="28">
        <v>11</v>
      </c>
      <c r="K16">
        <f t="shared" si="0"/>
        <v>1540</v>
      </c>
      <c r="L16">
        <f t="shared" si="1"/>
        <v>40</v>
      </c>
      <c r="M16">
        <f t="shared" si="2"/>
        <v>50</v>
      </c>
      <c r="N16" s="35">
        <f t="shared" si="3"/>
        <v>1630</v>
      </c>
    </row>
    <row r="17" spans="2:14" x14ac:dyDescent="0.25">
      <c r="B17" s="28">
        <v>15</v>
      </c>
      <c r="C17" s="29" t="s">
        <v>18</v>
      </c>
      <c r="D17" s="28">
        <v>202</v>
      </c>
      <c r="E17" s="28">
        <v>108</v>
      </c>
      <c r="F17" s="28">
        <v>197</v>
      </c>
      <c r="G17" s="28">
        <v>16</v>
      </c>
      <c r="H17" s="28">
        <v>3</v>
      </c>
      <c r="I17" s="28">
        <v>15</v>
      </c>
      <c r="K17">
        <f t="shared" si="0"/>
        <v>1080</v>
      </c>
      <c r="L17">
        <f t="shared" si="1"/>
        <v>320</v>
      </c>
      <c r="M17">
        <f t="shared" si="2"/>
        <v>150</v>
      </c>
      <c r="N17" s="35">
        <f t="shared" si="3"/>
        <v>1550</v>
      </c>
    </row>
    <row r="18" spans="2:14" x14ac:dyDescent="0.25">
      <c r="B18" s="28">
        <v>16</v>
      </c>
      <c r="C18" s="29" t="s">
        <v>48</v>
      </c>
      <c r="D18" s="28">
        <v>180</v>
      </c>
      <c r="E18" s="28">
        <v>73</v>
      </c>
      <c r="F18" s="29"/>
      <c r="G18" s="29"/>
      <c r="H18" s="29"/>
      <c r="I18" s="29"/>
      <c r="K18">
        <f t="shared" si="0"/>
        <v>730</v>
      </c>
      <c r="L18">
        <f t="shared" si="1"/>
        <v>0</v>
      </c>
      <c r="M18">
        <f t="shared" si="2"/>
        <v>0</v>
      </c>
      <c r="N18" s="35">
        <f t="shared" si="3"/>
        <v>730</v>
      </c>
    </row>
    <row r="19" spans="2:14" x14ac:dyDescent="0.25">
      <c r="B19" s="28">
        <v>17</v>
      </c>
      <c r="C19" s="29" t="s">
        <v>49</v>
      </c>
      <c r="D19" s="28">
        <v>152</v>
      </c>
      <c r="E19" s="28">
        <v>35</v>
      </c>
      <c r="F19" s="28">
        <v>84</v>
      </c>
      <c r="G19" s="29"/>
      <c r="H19" s="29"/>
      <c r="I19" s="28">
        <v>5</v>
      </c>
      <c r="K19">
        <f t="shared" si="0"/>
        <v>350</v>
      </c>
      <c r="L19">
        <f t="shared" si="1"/>
        <v>0</v>
      </c>
      <c r="M19">
        <f t="shared" si="2"/>
        <v>0</v>
      </c>
      <c r="N19" s="35">
        <f t="shared" si="3"/>
        <v>350</v>
      </c>
    </row>
    <row r="20" spans="2:14" x14ac:dyDescent="0.25">
      <c r="B20" s="28">
        <v>18</v>
      </c>
      <c r="C20" s="29" t="s">
        <v>50</v>
      </c>
      <c r="D20" s="28">
        <v>36</v>
      </c>
      <c r="E20" s="28">
        <v>18</v>
      </c>
      <c r="F20" s="28">
        <v>21</v>
      </c>
      <c r="G20" s="29"/>
      <c r="H20" s="29"/>
      <c r="I20" s="28">
        <v>17</v>
      </c>
      <c r="K20">
        <f t="shared" si="0"/>
        <v>180</v>
      </c>
      <c r="L20">
        <f t="shared" si="1"/>
        <v>0</v>
      </c>
      <c r="M20">
        <f t="shared" si="2"/>
        <v>0</v>
      </c>
      <c r="N20" s="35">
        <f t="shared" si="3"/>
        <v>180</v>
      </c>
    </row>
    <row r="21" spans="2:14" x14ac:dyDescent="0.25">
      <c r="B21" s="28">
        <v>19</v>
      </c>
      <c r="C21" s="29" t="s">
        <v>51</v>
      </c>
      <c r="D21" s="28">
        <v>20</v>
      </c>
      <c r="E21" s="28">
        <v>15</v>
      </c>
      <c r="F21" s="28">
        <v>13</v>
      </c>
      <c r="G21" s="28">
        <v>8</v>
      </c>
      <c r="H21" s="28">
        <v>2</v>
      </c>
      <c r="I21" s="28">
        <v>3</v>
      </c>
      <c r="K21">
        <f t="shared" si="0"/>
        <v>150</v>
      </c>
      <c r="L21">
        <f t="shared" si="1"/>
        <v>160</v>
      </c>
      <c r="M21">
        <f t="shared" si="2"/>
        <v>100</v>
      </c>
      <c r="N21" s="35">
        <f t="shared" si="3"/>
        <v>410</v>
      </c>
    </row>
    <row r="22" spans="2:14" x14ac:dyDescent="0.25">
      <c r="B22" s="28">
        <v>20</v>
      </c>
      <c r="C22" s="29" t="s">
        <v>52</v>
      </c>
      <c r="D22" s="28">
        <v>5</v>
      </c>
      <c r="E22" s="28">
        <v>5</v>
      </c>
      <c r="F22" s="28">
        <v>6</v>
      </c>
      <c r="G22" s="29"/>
      <c r="H22" s="29"/>
      <c r="I22" s="28">
        <v>1</v>
      </c>
      <c r="K22">
        <f t="shared" si="0"/>
        <v>50</v>
      </c>
      <c r="L22">
        <f t="shared" si="1"/>
        <v>0</v>
      </c>
      <c r="M22">
        <f t="shared" si="2"/>
        <v>0</v>
      </c>
      <c r="N22" s="35">
        <f t="shared" si="3"/>
        <v>50</v>
      </c>
    </row>
    <row r="23" spans="2:14" x14ac:dyDescent="0.25">
      <c r="B23" s="28">
        <v>21</v>
      </c>
      <c r="C23" s="29" t="s">
        <v>53</v>
      </c>
      <c r="D23" s="28">
        <v>4</v>
      </c>
      <c r="E23" s="28">
        <v>2</v>
      </c>
      <c r="F23" s="28">
        <v>2</v>
      </c>
      <c r="G23" s="28">
        <v>3</v>
      </c>
      <c r="H23" s="29"/>
      <c r="I23" s="28">
        <v>5</v>
      </c>
      <c r="K23">
        <f t="shared" si="0"/>
        <v>20</v>
      </c>
      <c r="L23">
        <f t="shared" si="1"/>
        <v>60</v>
      </c>
      <c r="M23">
        <f t="shared" si="2"/>
        <v>0</v>
      </c>
      <c r="N23" s="35">
        <f t="shared" si="3"/>
        <v>80</v>
      </c>
    </row>
    <row r="24" spans="2:14" x14ac:dyDescent="0.25">
      <c r="B24" s="28">
        <v>22</v>
      </c>
      <c r="C24" s="29" t="s">
        <v>54</v>
      </c>
      <c r="D24" s="28">
        <v>1</v>
      </c>
      <c r="E24" s="28">
        <v>1</v>
      </c>
      <c r="F24" s="29"/>
      <c r="G24" s="28">
        <v>7</v>
      </c>
      <c r="H24" s="28">
        <v>2</v>
      </c>
      <c r="I24" s="28">
        <v>2</v>
      </c>
      <c r="K24">
        <f t="shared" si="0"/>
        <v>10</v>
      </c>
      <c r="L24">
        <f t="shared" si="1"/>
        <v>140</v>
      </c>
      <c r="M24">
        <f t="shared" si="2"/>
        <v>100</v>
      </c>
      <c r="N24" s="35">
        <f t="shared" si="3"/>
        <v>250</v>
      </c>
    </row>
    <row r="25" spans="2:14" x14ac:dyDescent="0.25">
      <c r="B25" s="28">
        <v>23</v>
      </c>
      <c r="C25" s="29" t="s">
        <v>55</v>
      </c>
      <c r="D25" s="28">
        <v>1</v>
      </c>
      <c r="E25" s="28">
        <v>1</v>
      </c>
      <c r="F25" s="28">
        <v>1</v>
      </c>
      <c r="G25" s="28">
        <v>1</v>
      </c>
      <c r="H25" s="29"/>
      <c r="I25" s="28">
        <v>1</v>
      </c>
      <c r="K25">
        <f t="shared" si="0"/>
        <v>10</v>
      </c>
      <c r="L25">
        <f t="shared" si="1"/>
        <v>20</v>
      </c>
      <c r="M25">
        <f t="shared" si="2"/>
        <v>0</v>
      </c>
      <c r="N25" s="35">
        <f t="shared" si="3"/>
        <v>30</v>
      </c>
    </row>
    <row r="26" spans="2:14" x14ac:dyDescent="0.25">
      <c r="B26" s="28">
        <v>24</v>
      </c>
      <c r="C26" s="29" t="s">
        <v>56</v>
      </c>
      <c r="D26" s="29"/>
      <c r="E26" s="29"/>
      <c r="F26" s="29"/>
      <c r="G26" s="29"/>
      <c r="H26" s="29"/>
      <c r="I26" s="29"/>
      <c r="K26">
        <f t="shared" si="0"/>
        <v>0</v>
      </c>
      <c r="L26">
        <f t="shared" si="1"/>
        <v>0</v>
      </c>
      <c r="M26">
        <f t="shared" si="2"/>
        <v>0</v>
      </c>
      <c r="N26" s="35">
        <f t="shared" si="3"/>
        <v>0</v>
      </c>
    </row>
    <row r="27" spans="2:14" x14ac:dyDescent="0.25">
      <c r="B27" s="28">
        <v>25</v>
      </c>
      <c r="C27" s="29" t="s">
        <v>57</v>
      </c>
      <c r="D27" s="29"/>
      <c r="E27" s="29"/>
      <c r="F27" s="29"/>
      <c r="G27" s="29"/>
      <c r="H27" s="29"/>
      <c r="I27" s="29"/>
      <c r="K27">
        <f t="shared" si="0"/>
        <v>0</v>
      </c>
      <c r="L27">
        <f t="shared" si="1"/>
        <v>0</v>
      </c>
      <c r="M27">
        <f t="shared" si="2"/>
        <v>0</v>
      </c>
      <c r="N27" s="35">
        <f t="shared" si="3"/>
        <v>0</v>
      </c>
    </row>
    <row r="28" spans="2:14" x14ac:dyDescent="0.25">
      <c r="B28" s="28">
        <v>26</v>
      </c>
      <c r="C28" s="29" t="s">
        <v>58</v>
      </c>
      <c r="D28" s="29"/>
      <c r="E28" s="29"/>
      <c r="F28" s="29"/>
      <c r="G28" s="29"/>
      <c r="H28" s="29"/>
      <c r="I28" s="29"/>
      <c r="K28">
        <f t="shared" si="0"/>
        <v>0</v>
      </c>
      <c r="L28">
        <f t="shared" si="1"/>
        <v>0</v>
      </c>
      <c r="M28">
        <f t="shared" si="2"/>
        <v>0</v>
      </c>
      <c r="N28" s="35">
        <f t="shared" si="3"/>
        <v>0</v>
      </c>
    </row>
    <row r="29" spans="2:14" x14ac:dyDescent="0.25">
      <c r="B29" s="28">
        <v>27</v>
      </c>
      <c r="C29" s="29" t="s">
        <v>59</v>
      </c>
      <c r="D29" s="29"/>
      <c r="E29" s="29"/>
      <c r="F29" s="29"/>
      <c r="G29" s="29"/>
      <c r="H29" s="29"/>
      <c r="I29" s="29"/>
      <c r="K29">
        <f t="shared" si="0"/>
        <v>0</v>
      </c>
      <c r="L29">
        <f t="shared" si="1"/>
        <v>0</v>
      </c>
      <c r="M29">
        <f t="shared" si="2"/>
        <v>0</v>
      </c>
      <c r="N29" s="35">
        <f t="shared" si="3"/>
        <v>0</v>
      </c>
    </row>
    <row r="30" spans="2:14" x14ac:dyDescent="0.25">
      <c r="B30" s="28">
        <v>28</v>
      </c>
      <c r="C30" s="29" t="s">
        <v>60</v>
      </c>
      <c r="D30" s="29"/>
      <c r="E30" s="29"/>
      <c r="F30" s="29"/>
      <c r="G30" s="29"/>
      <c r="H30" s="29"/>
      <c r="I30" s="29"/>
      <c r="K30">
        <f t="shared" si="0"/>
        <v>0</v>
      </c>
      <c r="L30">
        <f t="shared" si="1"/>
        <v>0</v>
      </c>
      <c r="M30">
        <f t="shared" si="2"/>
        <v>0</v>
      </c>
      <c r="N30" s="35">
        <f t="shared" si="3"/>
        <v>0</v>
      </c>
    </row>
    <row r="31" spans="2:14" x14ac:dyDescent="0.25">
      <c r="B31" s="28">
        <v>29</v>
      </c>
      <c r="C31" s="29" t="s">
        <v>61</v>
      </c>
      <c r="D31" s="29"/>
      <c r="E31" s="29"/>
      <c r="F31" s="29"/>
      <c r="G31" s="29"/>
      <c r="H31" s="29"/>
      <c r="I31" s="29"/>
      <c r="K31">
        <f t="shared" si="0"/>
        <v>0</v>
      </c>
      <c r="L31">
        <f t="shared" si="1"/>
        <v>0</v>
      </c>
      <c r="M31">
        <f t="shared" si="2"/>
        <v>0</v>
      </c>
      <c r="N31" s="35">
        <f t="shared" si="3"/>
        <v>0</v>
      </c>
    </row>
    <row r="32" spans="2:14" x14ac:dyDescent="0.25">
      <c r="B32" s="28">
        <v>30</v>
      </c>
      <c r="C32" s="29" t="s">
        <v>62</v>
      </c>
      <c r="D32" s="29"/>
      <c r="E32" s="29"/>
      <c r="F32" s="29"/>
      <c r="G32" s="29"/>
      <c r="H32" s="29"/>
      <c r="I32" s="29"/>
      <c r="K32">
        <f t="shared" si="0"/>
        <v>0</v>
      </c>
      <c r="L32">
        <f t="shared" si="1"/>
        <v>0</v>
      </c>
      <c r="M32">
        <f t="shared" si="2"/>
        <v>0</v>
      </c>
      <c r="N32" s="35">
        <f t="shared" si="3"/>
        <v>0</v>
      </c>
    </row>
    <row r="33" spans="2:14" x14ac:dyDescent="0.25">
      <c r="B33" s="28">
        <v>31</v>
      </c>
      <c r="C33" s="29" t="s">
        <v>63</v>
      </c>
      <c r="D33" s="29"/>
      <c r="E33" s="29"/>
      <c r="F33" s="29"/>
      <c r="G33" s="29"/>
      <c r="H33" s="29"/>
      <c r="I33" s="29"/>
      <c r="K33">
        <f t="shared" si="0"/>
        <v>0</v>
      </c>
      <c r="L33">
        <f t="shared" si="1"/>
        <v>0</v>
      </c>
      <c r="M33">
        <f t="shared" si="2"/>
        <v>0</v>
      </c>
      <c r="N33" s="35">
        <f t="shared" si="3"/>
        <v>0</v>
      </c>
    </row>
    <row r="34" spans="2:14" x14ac:dyDescent="0.25">
      <c r="B34" s="28">
        <v>32</v>
      </c>
      <c r="C34" s="29" t="s">
        <v>64</v>
      </c>
      <c r="D34" s="29"/>
      <c r="E34" s="29"/>
      <c r="F34" s="29"/>
      <c r="G34" s="29"/>
      <c r="H34" s="29"/>
      <c r="I34" s="29"/>
      <c r="K34">
        <f t="shared" si="0"/>
        <v>0</v>
      </c>
      <c r="L34">
        <f t="shared" si="1"/>
        <v>0</v>
      </c>
      <c r="M34">
        <f t="shared" si="2"/>
        <v>0</v>
      </c>
      <c r="N34" s="35">
        <f t="shared" si="3"/>
        <v>0</v>
      </c>
    </row>
    <row r="35" spans="2:14" x14ac:dyDescent="0.25">
      <c r="B35" s="28">
        <v>33</v>
      </c>
      <c r="C35" s="29" t="s">
        <v>65</v>
      </c>
      <c r="D35" s="29"/>
      <c r="E35" s="29"/>
      <c r="F35" s="29"/>
      <c r="G35" s="29"/>
      <c r="H35" s="29"/>
      <c r="I35" s="29"/>
      <c r="K35">
        <f t="shared" si="0"/>
        <v>0</v>
      </c>
      <c r="L35">
        <f t="shared" si="1"/>
        <v>0</v>
      </c>
      <c r="M35">
        <f t="shared" si="2"/>
        <v>0</v>
      </c>
      <c r="N35" s="35">
        <f t="shared" si="3"/>
        <v>0</v>
      </c>
    </row>
    <row r="36" spans="2:14" x14ac:dyDescent="0.25">
      <c r="B36" s="28">
        <v>34</v>
      </c>
      <c r="C36" s="29" t="s">
        <v>66</v>
      </c>
      <c r="D36" s="29"/>
      <c r="E36" s="29"/>
      <c r="F36" s="29"/>
      <c r="G36" s="29"/>
      <c r="H36" s="29"/>
      <c r="I36" s="29"/>
      <c r="K36">
        <f t="shared" si="0"/>
        <v>0</v>
      </c>
      <c r="L36">
        <f t="shared" si="1"/>
        <v>0</v>
      </c>
      <c r="M36">
        <f t="shared" si="2"/>
        <v>0</v>
      </c>
      <c r="N36" s="35">
        <f t="shared" si="3"/>
        <v>0</v>
      </c>
    </row>
    <row r="37" spans="2:14" x14ac:dyDescent="0.25">
      <c r="B37" s="28">
        <v>35</v>
      </c>
      <c r="C37" s="29" t="s">
        <v>67</v>
      </c>
      <c r="D37" s="29"/>
      <c r="E37" s="29"/>
      <c r="F37" s="29"/>
      <c r="G37" s="29"/>
      <c r="H37" s="29"/>
      <c r="I37" s="29"/>
      <c r="K37">
        <f t="shared" si="0"/>
        <v>0</v>
      </c>
      <c r="L37">
        <f t="shared" si="1"/>
        <v>0</v>
      </c>
      <c r="M37">
        <f t="shared" si="2"/>
        <v>0</v>
      </c>
      <c r="N37" s="35">
        <f t="shared" si="3"/>
        <v>0</v>
      </c>
    </row>
    <row r="38" spans="2:14" x14ac:dyDescent="0.25">
      <c r="B38" s="28">
        <v>36</v>
      </c>
      <c r="C38" s="29" t="s">
        <v>68</v>
      </c>
      <c r="D38" s="29"/>
      <c r="E38" s="29"/>
      <c r="F38" s="29"/>
      <c r="G38" s="29"/>
      <c r="H38" s="29"/>
      <c r="I38" s="29"/>
      <c r="K38">
        <f t="shared" si="0"/>
        <v>0</v>
      </c>
      <c r="L38">
        <f t="shared" si="1"/>
        <v>0</v>
      </c>
      <c r="M38">
        <f t="shared" si="2"/>
        <v>0</v>
      </c>
      <c r="N38" s="35">
        <f t="shared" si="3"/>
        <v>0</v>
      </c>
    </row>
    <row r="39" spans="2:14" x14ac:dyDescent="0.25">
      <c r="B39" s="28">
        <v>37</v>
      </c>
      <c r="C39" s="29" t="s">
        <v>69</v>
      </c>
      <c r="D39" s="29"/>
      <c r="E39" s="29"/>
      <c r="F39" s="29"/>
      <c r="G39" s="28">
        <v>2</v>
      </c>
      <c r="H39" s="28">
        <v>1</v>
      </c>
      <c r="I39" s="29"/>
      <c r="K39">
        <f t="shared" si="0"/>
        <v>0</v>
      </c>
      <c r="L39">
        <f t="shared" si="1"/>
        <v>40</v>
      </c>
      <c r="M39">
        <f t="shared" si="2"/>
        <v>50</v>
      </c>
      <c r="N39" s="35">
        <f t="shared" si="3"/>
        <v>90</v>
      </c>
    </row>
    <row r="40" spans="2:14" x14ac:dyDescent="0.25">
      <c r="B40" s="28">
        <v>38</v>
      </c>
      <c r="C40" s="29" t="s">
        <v>70</v>
      </c>
      <c r="D40" s="29"/>
      <c r="E40" s="29"/>
      <c r="F40" s="29"/>
      <c r="G40" s="29"/>
      <c r="H40" s="29"/>
      <c r="I40" s="29"/>
      <c r="K40">
        <f t="shared" si="0"/>
        <v>0</v>
      </c>
      <c r="L40">
        <f t="shared" si="1"/>
        <v>0</v>
      </c>
      <c r="M40">
        <f t="shared" si="2"/>
        <v>0</v>
      </c>
      <c r="N40" s="35">
        <f t="shared" si="3"/>
        <v>0</v>
      </c>
    </row>
    <row r="41" spans="2:14" x14ac:dyDescent="0.25">
      <c r="B41" s="28">
        <v>39</v>
      </c>
      <c r="C41" s="29" t="s">
        <v>71</v>
      </c>
      <c r="D41" s="29"/>
      <c r="E41" s="29"/>
      <c r="F41" s="29"/>
      <c r="G41" s="29"/>
      <c r="H41" s="29"/>
      <c r="I41" s="29"/>
      <c r="K41">
        <f t="shared" si="0"/>
        <v>0</v>
      </c>
      <c r="L41">
        <f t="shared" si="1"/>
        <v>0</v>
      </c>
      <c r="M41">
        <f t="shared" si="2"/>
        <v>0</v>
      </c>
      <c r="N41" s="35">
        <f t="shared" si="3"/>
        <v>0</v>
      </c>
    </row>
    <row r="42" spans="2:14" x14ac:dyDescent="0.25">
      <c r="B42" s="28">
        <v>40</v>
      </c>
      <c r="C42" s="29" t="s">
        <v>72</v>
      </c>
      <c r="D42" s="29"/>
      <c r="E42" s="29"/>
      <c r="F42" s="29"/>
      <c r="G42" s="29"/>
      <c r="H42" s="29"/>
      <c r="I42" s="29"/>
      <c r="K42">
        <f t="shared" si="0"/>
        <v>0</v>
      </c>
      <c r="L42">
        <f t="shared" si="1"/>
        <v>0</v>
      </c>
      <c r="M42">
        <f t="shared" si="2"/>
        <v>0</v>
      </c>
      <c r="N42" s="35">
        <f t="shared" si="3"/>
        <v>0</v>
      </c>
    </row>
    <row r="43" spans="2:14" x14ac:dyDescent="0.25">
      <c r="B43" s="28">
        <v>41</v>
      </c>
      <c r="C43" s="29" t="s">
        <v>73</v>
      </c>
      <c r="D43" s="29"/>
      <c r="E43" s="29"/>
      <c r="F43" s="29"/>
      <c r="G43" s="29"/>
      <c r="H43" s="29"/>
      <c r="I43" s="29"/>
      <c r="K43">
        <f t="shared" si="0"/>
        <v>0</v>
      </c>
      <c r="L43">
        <f t="shared" si="1"/>
        <v>0</v>
      </c>
      <c r="M43">
        <f t="shared" si="2"/>
        <v>0</v>
      </c>
      <c r="N43" s="35">
        <f t="shared" si="3"/>
        <v>0</v>
      </c>
    </row>
    <row r="44" spans="2:14" x14ac:dyDescent="0.25">
      <c r="B44" s="28">
        <v>42</v>
      </c>
      <c r="C44" s="29" t="s">
        <v>74</v>
      </c>
      <c r="D44" s="29"/>
      <c r="E44" s="29"/>
      <c r="F44" s="29"/>
      <c r="G44" s="29"/>
      <c r="H44" s="29"/>
      <c r="I44" s="29"/>
      <c r="K44">
        <f t="shared" si="0"/>
        <v>0</v>
      </c>
      <c r="L44">
        <f t="shared" si="1"/>
        <v>0</v>
      </c>
      <c r="M44">
        <f t="shared" si="2"/>
        <v>0</v>
      </c>
      <c r="N44" s="35">
        <f t="shared" si="3"/>
        <v>0</v>
      </c>
    </row>
    <row r="45" spans="2:14" x14ac:dyDescent="0.25">
      <c r="B45" s="28">
        <v>43</v>
      </c>
      <c r="C45" s="29" t="s">
        <v>75</v>
      </c>
      <c r="D45" s="29"/>
      <c r="E45" s="29"/>
      <c r="F45" s="29"/>
      <c r="G45" s="29"/>
      <c r="H45" s="29"/>
      <c r="I45" s="29"/>
      <c r="K45">
        <f t="shared" si="0"/>
        <v>0</v>
      </c>
      <c r="L45">
        <f t="shared" si="1"/>
        <v>0</v>
      </c>
      <c r="M45">
        <f t="shared" si="2"/>
        <v>0</v>
      </c>
      <c r="N45" s="35">
        <f t="shared" si="3"/>
        <v>0</v>
      </c>
    </row>
    <row r="46" spans="2:14" x14ac:dyDescent="0.25">
      <c r="B46" s="28">
        <v>44</v>
      </c>
      <c r="C46" s="29" t="s">
        <v>76</v>
      </c>
      <c r="D46" s="29"/>
      <c r="E46" s="29"/>
      <c r="F46" s="29"/>
      <c r="G46" s="29"/>
      <c r="H46" s="29"/>
      <c r="I46" s="29"/>
      <c r="K46">
        <f t="shared" si="0"/>
        <v>0</v>
      </c>
      <c r="L46">
        <f t="shared" si="1"/>
        <v>0</v>
      </c>
      <c r="M46">
        <f t="shared" si="2"/>
        <v>0</v>
      </c>
      <c r="N46" s="35">
        <f t="shared" si="3"/>
        <v>0</v>
      </c>
    </row>
    <row r="47" spans="2:14" x14ac:dyDescent="0.25">
      <c r="B47" s="28">
        <v>45</v>
      </c>
      <c r="C47" s="29" t="s">
        <v>77</v>
      </c>
      <c r="D47" s="29"/>
      <c r="E47" s="29"/>
      <c r="F47" s="29"/>
      <c r="G47" s="29"/>
      <c r="H47" s="29"/>
      <c r="I47" s="29"/>
      <c r="K47">
        <f t="shared" si="0"/>
        <v>0</v>
      </c>
      <c r="L47">
        <f t="shared" si="1"/>
        <v>0</v>
      </c>
      <c r="M47">
        <f t="shared" si="2"/>
        <v>0</v>
      </c>
      <c r="N47" s="35">
        <f t="shared" si="3"/>
        <v>0</v>
      </c>
    </row>
    <row r="48" spans="2:14" x14ac:dyDescent="0.25">
      <c r="B48" s="28">
        <v>46</v>
      </c>
      <c r="C48" s="29" t="s">
        <v>78</v>
      </c>
      <c r="D48" s="29"/>
      <c r="E48" s="29"/>
      <c r="F48" s="29"/>
      <c r="G48" s="29"/>
      <c r="H48" s="29"/>
      <c r="I48" s="29"/>
      <c r="K48">
        <f t="shared" si="0"/>
        <v>0</v>
      </c>
      <c r="L48">
        <f t="shared" si="1"/>
        <v>0</v>
      </c>
      <c r="M48">
        <f t="shared" si="2"/>
        <v>0</v>
      </c>
      <c r="N48" s="35">
        <f t="shared" si="3"/>
        <v>0</v>
      </c>
    </row>
    <row r="49" spans="2:14" x14ac:dyDescent="0.25">
      <c r="B49" s="28">
        <v>47</v>
      </c>
      <c r="C49" s="29" t="s">
        <v>79</v>
      </c>
      <c r="D49" s="29"/>
      <c r="E49" s="29"/>
      <c r="F49" s="29"/>
      <c r="G49" s="29"/>
      <c r="H49" s="29"/>
      <c r="I49" s="29"/>
      <c r="K49">
        <f t="shared" si="0"/>
        <v>0</v>
      </c>
      <c r="L49">
        <f t="shared" si="1"/>
        <v>0</v>
      </c>
      <c r="M49">
        <f t="shared" si="2"/>
        <v>0</v>
      </c>
      <c r="N49" s="35">
        <f t="shared" si="3"/>
        <v>0</v>
      </c>
    </row>
    <row r="50" spans="2:14" x14ac:dyDescent="0.25">
      <c r="B50" s="28">
        <v>48</v>
      </c>
      <c r="C50" s="29" t="s">
        <v>80</v>
      </c>
      <c r="D50" s="29"/>
      <c r="E50" s="29"/>
      <c r="F50" s="29"/>
      <c r="G50" s="29"/>
      <c r="H50" s="29"/>
      <c r="I50" s="29"/>
      <c r="K50">
        <f t="shared" si="0"/>
        <v>0</v>
      </c>
      <c r="L50">
        <f t="shared" si="1"/>
        <v>0</v>
      </c>
      <c r="M50">
        <f t="shared" si="2"/>
        <v>0</v>
      </c>
      <c r="N50" s="35">
        <f t="shared" si="3"/>
        <v>0</v>
      </c>
    </row>
    <row r="51" spans="2:14" x14ac:dyDescent="0.25">
      <c r="B51" s="28">
        <v>49</v>
      </c>
      <c r="C51" s="29" t="s">
        <v>81</v>
      </c>
      <c r="D51" s="29"/>
      <c r="E51" s="29"/>
      <c r="F51" s="29"/>
      <c r="G51" s="29"/>
      <c r="H51" s="29"/>
      <c r="I51" s="29"/>
      <c r="K51">
        <f t="shared" si="0"/>
        <v>0</v>
      </c>
      <c r="L51">
        <f t="shared" si="1"/>
        <v>0</v>
      </c>
      <c r="M51">
        <f t="shared" si="2"/>
        <v>0</v>
      </c>
      <c r="N51" s="35">
        <f t="shared" si="3"/>
        <v>0</v>
      </c>
    </row>
    <row r="52" spans="2:14" x14ac:dyDescent="0.25">
      <c r="B52" s="28">
        <v>50</v>
      </c>
      <c r="C52" s="29" t="s">
        <v>82</v>
      </c>
      <c r="D52" s="29"/>
      <c r="E52" s="29"/>
      <c r="F52" s="29"/>
      <c r="G52" s="29"/>
      <c r="H52" s="29"/>
      <c r="I52" s="29"/>
      <c r="K52">
        <f t="shared" si="0"/>
        <v>0</v>
      </c>
      <c r="L52">
        <f t="shared" si="1"/>
        <v>0</v>
      </c>
      <c r="M52">
        <f t="shared" si="2"/>
        <v>0</v>
      </c>
      <c r="N52" s="35">
        <f t="shared" si="3"/>
        <v>0</v>
      </c>
    </row>
    <row r="53" spans="2:14" x14ac:dyDescent="0.25">
      <c r="B53" s="28">
        <v>51</v>
      </c>
      <c r="C53" s="29" t="s">
        <v>83</v>
      </c>
      <c r="D53" s="29"/>
      <c r="E53" s="29"/>
      <c r="F53" s="29"/>
      <c r="G53" s="29"/>
      <c r="H53" s="29"/>
      <c r="I53" s="29"/>
      <c r="K53">
        <f t="shared" si="0"/>
        <v>0</v>
      </c>
      <c r="L53">
        <f t="shared" si="1"/>
        <v>0</v>
      </c>
      <c r="M53">
        <f t="shared" si="2"/>
        <v>0</v>
      </c>
      <c r="N53" s="35">
        <f t="shared" si="3"/>
        <v>0</v>
      </c>
    </row>
    <row r="54" spans="2:14" x14ac:dyDescent="0.25">
      <c r="B54" s="28">
        <v>52</v>
      </c>
      <c r="C54" s="29" t="s">
        <v>84</v>
      </c>
      <c r="D54" s="29"/>
      <c r="E54" s="29"/>
      <c r="F54" s="29"/>
      <c r="G54" s="29"/>
      <c r="H54" s="29"/>
      <c r="I54" s="29"/>
      <c r="K54">
        <f t="shared" si="0"/>
        <v>0</v>
      </c>
      <c r="L54">
        <f t="shared" si="1"/>
        <v>0</v>
      </c>
      <c r="M54">
        <f t="shared" si="2"/>
        <v>0</v>
      </c>
      <c r="N54" s="35">
        <f t="shared" si="3"/>
        <v>0</v>
      </c>
    </row>
    <row r="55" spans="2:14" x14ac:dyDescent="0.25">
      <c r="B55" s="28">
        <v>53</v>
      </c>
      <c r="C55" s="29" t="s">
        <v>85</v>
      </c>
      <c r="D55" s="29"/>
      <c r="E55" s="29"/>
      <c r="F55" s="29"/>
      <c r="G55" s="29"/>
      <c r="H55" s="29"/>
      <c r="I55" s="29"/>
      <c r="K55">
        <f t="shared" si="0"/>
        <v>0</v>
      </c>
      <c r="L55">
        <f t="shared" si="1"/>
        <v>0</v>
      </c>
      <c r="M55">
        <f t="shared" si="2"/>
        <v>0</v>
      </c>
      <c r="N55" s="35">
        <f t="shared" si="3"/>
        <v>0</v>
      </c>
    </row>
    <row r="56" spans="2:14" x14ac:dyDescent="0.25">
      <c r="B56" s="28">
        <v>54</v>
      </c>
      <c r="C56" s="29" t="s">
        <v>86</v>
      </c>
      <c r="D56" s="29"/>
      <c r="E56" s="29"/>
      <c r="F56" s="29"/>
      <c r="G56" s="29"/>
      <c r="H56" s="29"/>
      <c r="I56" s="29"/>
      <c r="K56">
        <f t="shared" si="0"/>
        <v>0</v>
      </c>
      <c r="L56">
        <f t="shared" si="1"/>
        <v>0</v>
      </c>
      <c r="M56">
        <f t="shared" si="2"/>
        <v>0</v>
      </c>
      <c r="N56" s="35">
        <f t="shared" si="3"/>
        <v>0</v>
      </c>
    </row>
    <row r="57" spans="2:14" x14ac:dyDescent="0.25">
      <c r="B57" s="28">
        <v>55</v>
      </c>
      <c r="C57" s="29" t="s">
        <v>87</v>
      </c>
      <c r="D57" s="29"/>
      <c r="E57" s="29"/>
      <c r="F57" s="29"/>
      <c r="G57" s="28">
        <v>3</v>
      </c>
      <c r="H57" s="29"/>
      <c r="I57" s="29"/>
      <c r="K57">
        <f t="shared" si="0"/>
        <v>0</v>
      </c>
      <c r="L57">
        <f t="shared" si="1"/>
        <v>60</v>
      </c>
      <c r="M57">
        <f t="shared" si="2"/>
        <v>0</v>
      </c>
      <c r="N57" s="35">
        <f t="shared" si="3"/>
        <v>60</v>
      </c>
    </row>
    <row r="58" spans="2:14" x14ac:dyDescent="0.25">
      <c r="B58" s="28">
        <v>56</v>
      </c>
      <c r="C58" s="29" t="s">
        <v>88</v>
      </c>
      <c r="D58" s="29"/>
      <c r="E58" s="29"/>
      <c r="F58" s="29"/>
      <c r="G58" s="29"/>
      <c r="H58" s="29"/>
      <c r="I58" s="29"/>
      <c r="K58">
        <f t="shared" si="0"/>
        <v>0</v>
      </c>
      <c r="L58">
        <f t="shared" si="1"/>
        <v>0</v>
      </c>
      <c r="M58">
        <f t="shared" si="2"/>
        <v>0</v>
      </c>
      <c r="N58" s="35">
        <f t="shared" si="3"/>
        <v>0</v>
      </c>
    </row>
    <row r="59" spans="2:14" x14ac:dyDescent="0.25">
      <c r="B59" s="28">
        <v>57</v>
      </c>
      <c r="C59" s="29" t="s">
        <v>89</v>
      </c>
      <c r="D59" s="29"/>
      <c r="E59" s="29"/>
      <c r="F59" s="29"/>
      <c r="G59" s="29"/>
      <c r="H59" s="29"/>
      <c r="I59" s="29"/>
      <c r="K59">
        <f t="shared" si="0"/>
        <v>0</v>
      </c>
      <c r="L59">
        <f t="shared" si="1"/>
        <v>0</v>
      </c>
      <c r="M59">
        <f t="shared" si="2"/>
        <v>0</v>
      </c>
      <c r="N59" s="35">
        <f t="shared" si="3"/>
        <v>0</v>
      </c>
    </row>
    <row r="60" spans="2:14" x14ac:dyDescent="0.25">
      <c r="B60" s="28">
        <v>58</v>
      </c>
      <c r="C60" s="29" t="s">
        <v>90</v>
      </c>
      <c r="D60" s="29"/>
      <c r="E60" s="29"/>
      <c r="F60" s="29"/>
      <c r="G60" s="29"/>
      <c r="H60" s="29"/>
      <c r="I60" s="29"/>
      <c r="K60">
        <f t="shared" si="0"/>
        <v>0</v>
      </c>
      <c r="L60">
        <f t="shared" si="1"/>
        <v>0</v>
      </c>
      <c r="M60">
        <f t="shared" si="2"/>
        <v>0</v>
      </c>
      <c r="N60" s="35">
        <f t="shared" si="3"/>
        <v>0</v>
      </c>
    </row>
    <row r="61" spans="2:14" x14ac:dyDescent="0.25">
      <c r="B61" s="28">
        <v>59</v>
      </c>
      <c r="C61" s="29" t="s">
        <v>91</v>
      </c>
      <c r="D61" s="29"/>
      <c r="E61" s="29"/>
      <c r="F61" s="29"/>
      <c r="G61" s="29"/>
      <c r="H61" s="29"/>
      <c r="I61" s="29"/>
      <c r="K61">
        <f t="shared" si="0"/>
        <v>0</v>
      </c>
      <c r="L61">
        <f t="shared" si="1"/>
        <v>0</v>
      </c>
      <c r="M61">
        <f t="shared" si="2"/>
        <v>0</v>
      </c>
      <c r="N61" s="35">
        <f t="shared" si="3"/>
        <v>0</v>
      </c>
    </row>
    <row r="62" spans="2:14" x14ac:dyDescent="0.25">
      <c r="B62" s="28">
        <v>60</v>
      </c>
      <c r="C62" s="29" t="s">
        <v>92</v>
      </c>
      <c r="D62" s="29"/>
      <c r="E62" s="29"/>
      <c r="F62" s="29"/>
      <c r="G62" s="29"/>
      <c r="H62" s="29"/>
      <c r="I62" s="29"/>
      <c r="K62">
        <f t="shared" si="0"/>
        <v>0</v>
      </c>
      <c r="L62">
        <f t="shared" si="1"/>
        <v>0</v>
      </c>
      <c r="M62">
        <f t="shared" si="2"/>
        <v>0</v>
      </c>
      <c r="N62" s="35">
        <f t="shared" si="3"/>
        <v>0</v>
      </c>
    </row>
    <row r="63" spans="2:14" x14ac:dyDescent="0.25">
      <c r="B63" s="27"/>
      <c r="C63" s="27"/>
      <c r="D63" s="27"/>
      <c r="E63" s="27"/>
      <c r="F63" s="27"/>
      <c r="G63" s="27"/>
      <c r="H63" s="27"/>
      <c r="I6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5" sqref="Q5"/>
    </sheetView>
  </sheetViews>
  <sheetFormatPr defaultRowHeight="15" outlineLevelCol="1" x14ac:dyDescent="0.25"/>
  <cols>
    <col min="1" max="1" width="3.140625" customWidth="1"/>
    <col min="2" max="2" width="3.85546875" customWidth="1"/>
    <col min="3" max="3" width="17.42578125" bestFit="1" customWidth="1"/>
    <col min="4" max="4" width="9.140625" customWidth="1" outlineLevel="1"/>
    <col min="6" max="6" width="0" hidden="1" customWidth="1" outlineLevel="1"/>
    <col min="7" max="7" width="9.140625" collapsed="1"/>
    <col min="9" max="9" width="0" hidden="1" customWidth="1" outlineLevel="1"/>
    <col min="10" max="10" width="9.140625" collapsed="1"/>
    <col min="11" max="13" width="10.5703125" customWidth="1"/>
    <col min="14" max="14" width="9.140625" style="35"/>
  </cols>
  <sheetData>
    <row r="1" spans="2:16" x14ac:dyDescent="0.25">
      <c r="K1">
        <v>15</v>
      </c>
      <c r="L1">
        <v>35</v>
      </c>
      <c r="M1">
        <v>70</v>
      </c>
    </row>
    <row r="2" spans="2:16" x14ac:dyDescent="0.25">
      <c r="B2" s="27" t="s">
        <v>30</v>
      </c>
      <c r="C2" s="27" t="s">
        <v>31</v>
      </c>
      <c r="D2" s="27" t="s">
        <v>32</v>
      </c>
      <c r="E2" s="27" t="s">
        <v>33</v>
      </c>
      <c r="F2" s="27" t="s">
        <v>34</v>
      </c>
      <c r="G2" s="27" t="s">
        <v>28</v>
      </c>
      <c r="H2" s="27" t="s">
        <v>29</v>
      </c>
      <c r="I2" s="27" t="s">
        <v>35</v>
      </c>
      <c r="K2" s="34" t="str">
        <f>E2</f>
        <v>Еф визиты</v>
      </c>
      <c r="L2" s="34" t="str">
        <f>G2</f>
        <v>Задания</v>
      </c>
      <c r="M2" s="34" t="str">
        <f>H2</f>
        <v>Заказы</v>
      </c>
      <c r="N2" s="36" t="s">
        <v>93</v>
      </c>
    </row>
    <row r="3" spans="2:16" x14ac:dyDescent="0.25">
      <c r="B3" s="28">
        <v>1</v>
      </c>
      <c r="C3" s="29" t="s">
        <v>36</v>
      </c>
      <c r="D3" s="28">
        <v>489</v>
      </c>
      <c r="E3" s="28">
        <v>227</v>
      </c>
      <c r="F3" s="28">
        <v>602</v>
      </c>
      <c r="G3" s="28">
        <v>13</v>
      </c>
      <c r="H3" s="28">
        <v>3</v>
      </c>
      <c r="I3" s="28">
        <v>78</v>
      </c>
      <c r="K3">
        <f>E3*$K$1</f>
        <v>3405</v>
      </c>
      <c r="L3">
        <f>G3*$L$1</f>
        <v>455</v>
      </c>
      <c r="M3">
        <f>H3*$M$1</f>
        <v>210</v>
      </c>
      <c r="N3" s="35">
        <f>SUM(K3:M3)</f>
        <v>4070</v>
      </c>
    </row>
    <row r="4" spans="2:16" x14ac:dyDescent="0.25">
      <c r="B4" s="28">
        <v>2</v>
      </c>
      <c r="C4" s="29" t="s">
        <v>37</v>
      </c>
      <c r="D4" s="28">
        <v>468</v>
      </c>
      <c r="E4" s="28">
        <v>243</v>
      </c>
      <c r="F4" s="28">
        <v>258</v>
      </c>
      <c r="G4" s="28">
        <v>12</v>
      </c>
      <c r="H4" s="28">
        <v>7</v>
      </c>
      <c r="I4" s="28">
        <v>44</v>
      </c>
      <c r="K4">
        <f t="shared" ref="K4:K62" si="0">E4*$K$1</f>
        <v>3645</v>
      </c>
      <c r="L4">
        <f t="shared" ref="L4:L62" si="1">G4*$L$1</f>
        <v>420</v>
      </c>
      <c r="M4">
        <f t="shared" ref="M4:M62" si="2">H4*$M$1</f>
        <v>490</v>
      </c>
      <c r="N4" s="37">
        <f t="shared" ref="N4:N62" si="3">SUM(K4:M4)</f>
        <v>4555</v>
      </c>
      <c r="P4">
        <f>4/3</f>
        <v>1.3333333333333333</v>
      </c>
    </row>
    <row r="5" spans="2:16" x14ac:dyDescent="0.25">
      <c r="B5" s="28">
        <v>3</v>
      </c>
      <c r="C5" s="29" t="s">
        <v>38</v>
      </c>
      <c r="D5" s="28">
        <v>456</v>
      </c>
      <c r="E5" s="28">
        <v>169</v>
      </c>
      <c r="F5" s="28">
        <v>400</v>
      </c>
      <c r="G5" s="28">
        <v>11</v>
      </c>
      <c r="H5" s="29"/>
      <c r="I5" s="28">
        <v>66</v>
      </c>
      <c r="K5">
        <f t="shared" si="0"/>
        <v>2535</v>
      </c>
      <c r="L5">
        <f t="shared" si="1"/>
        <v>385</v>
      </c>
      <c r="M5">
        <f t="shared" si="2"/>
        <v>0</v>
      </c>
      <c r="N5" s="35">
        <f t="shared" si="3"/>
        <v>2920</v>
      </c>
    </row>
    <row r="6" spans="2:16" x14ac:dyDescent="0.25">
      <c r="B6" s="28">
        <v>4</v>
      </c>
      <c r="C6" s="29" t="s">
        <v>39</v>
      </c>
      <c r="D6" s="28">
        <v>423</v>
      </c>
      <c r="E6" s="28">
        <v>196</v>
      </c>
      <c r="F6" s="28">
        <v>341</v>
      </c>
      <c r="G6" s="28">
        <v>9</v>
      </c>
      <c r="H6" s="28">
        <v>4</v>
      </c>
      <c r="I6" s="28">
        <v>103</v>
      </c>
      <c r="K6">
        <f t="shared" si="0"/>
        <v>2940</v>
      </c>
      <c r="L6">
        <f t="shared" si="1"/>
        <v>315</v>
      </c>
      <c r="M6">
        <f t="shared" si="2"/>
        <v>280</v>
      </c>
      <c r="N6" s="35">
        <f t="shared" si="3"/>
        <v>3535</v>
      </c>
    </row>
    <row r="7" spans="2:16" x14ac:dyDescent="0.25">
      <c r="B7" s="28">
        <v>5</v>
      </c>
      <c r="C7" s="29" t="s">
        <v>40</v>
      </c>
      <c r="D7" s="28">
        <v>405</v>
      </c>
      <c r="E7" s="28">
        <v>173</v>
      </c>
      <c r="F7" s="28">
        <v>346</v>
      </c>
      <c r="G7" s="28">
        <v>12</v>
      </c>
      <c r="H7" s="29"/>
      <c r="I7" s="28">
        <v>74</v>
      </c>
      <c r="K7">
        <f t="shared" si="0"/>
        <v>2595</v>
      </c>
      <c r="L7">
        <f t="shared" si="1"/>
        <v>420</v>
      </c>
      <c r="M7">
        <f t="shared" si="2"/>
        <v>0</v>
      </c>
      <c r="N7" s="35">
        <f t="shared" si="3"/>
        <v>3015</v>
      </c>
    </row>
    <row r="8" spans="2:16" x14ac:dyDescent="0.25">
      <c r="B8" s="28">
        <v>6</v>
      </c>
      <c r="C8" s="29" t="s">
        <v>41</v>
      </c>
      <c r="D8" s="28">
        <v>396</v>
      </c>
      <c r="E8" s="28">
        <v>155</v>
      </c>
      <c r="F8" s="28">
        <v>293</v>
      </c>
      <c r="G8" s="28">
        <v>9</v>
      </c>
      <c r="H8" s="28">
        <v>2</v>
      </c>
      <c r="I8" s="28">
        <v>132</v>
      </c>
      <c r="K8">
        <f t="shared" si="0"/>
        <v>2325</v>
      </c>
      <c r="L8">
        <f t="shared" si="1"/>
        <v>315</v>
      </c>
      <c r="M8">
        <f t="shared" si="2"/>
        <v>140</v>
      </c>
      <c r="N8" s="35">
        <f t="shared" si="3"/>
        <v>2780</v>
      </c>
    </row>
    <row r="9" spans="2:16" x14ac:dyDescent="0.25">
      <c r="B9" s="28">
        <v>7</v>
      </c>
      <c r="C9" s="29" t="s">
        <v>13</v>
      </c>
      <c r="D9" s="28">
        <v>395</v>
      </c>
      <c r="E9" s="28">
        <v>126</v>
      </c>
      <c r="F9" s="28">
        <v>349</v>
      </c>
      <c r="G9" s="28">
        <v>7</v>
      </c>
      <c r="H9" s="29"/>
      <c r="I9" s="28">
        <v>54</v>
      </c>
      <c r="K9">
        <f t="shared" si="0"/>
        <v>1890</v>
      </c>
      <c r="L9">
        <f t="shared" si="1"/>
        <v>245</v>
      </c>
      <c r="M9">
        <f t="shared" si="2"/>
        <v>0</v>
      </c>
      <c r="N9" s="35">
        <f t="shared" si="3"/>
        <v>2135</v>
      </c>
    </row>
    <row r="10" spans="2:16" x14ac:dyDescent="0.25">
      <c r="B10" s="28">
        <v>8</v>
      </c>
      <c r="C10" s="29" t="s">
        <v>12</v>
      </c>
      <c r="D10" s="28">
        <v>378</v>
      </c>
      <c r="E10" s="28">
        <v>82</v>
      </c>
      <c r="F10" s="28">
        <v>242</v>
      </c>
      <c r="G10" s="28">
        <v>26</v>
      </c>
      <c r="H10" s="28">
        <v>3</v>
      </c>
      <c r="I10" s="28">
        <v>80</v>
      </c>
      <c r="K10">
        <f t="shared" si="0"/>
        <v>1230</v>
      </c>
      <c r="L10">
        <f t="shared" si="1"/>
        <v>910</v>
      </c>
      <c r="M10">
        <f t="shared" si="2"/>
        <v>210</v>
      </c>
      <c r="N10" s="35">
        <f t="shared" si="3"/>
        <v>2350</v>
      </c>
    </row>
    <row r="11" spans="2:16" x14ac:dyDescent="0.25">
      <c r="B11" s="28">
        <v>9</v>
      </c>
      <c r="C11" s="29" t="s">
        <v>42</v>
      </c>
      <c r="D11" s="28">
        <v>373</v>
      </c>
      <c r="E11" s="28">
        <v>165</v>
      </c>
      <c r="F11" s="28">
        <v>196</v>
      </c>
      <c r="G11" s="28">
        <v>17</v>
      </c>
      <c r="H11" s="28">
        <v>6</v>
      </c>
      <c r="I11" s="28">
        <v>123</v>
      </c>
      <c r="K11">
        <f t="shared" si="0"/>
        <v>2475</v>
      </c>
      <c r="L11">
        <f t="shared" si="1"/>
        <v>595</v>
      </c>
      <c r="M11">
        <f t="shared" si="2"/>
        <v>420</v>
      </c>
      <c r="N11" s="35">
        <f t="shared" si="3"/>
        <v>3490</v>
      </c>
    </row>
    <row r="12" spans="2:16" x14ac:dyDescent="0.25">
      <c r="B12" s="28">
        <v>10</v>
      </c>
      <c r="C12" s="29" t="s">
        <v>43</v>
      </c>
      <c r="D12" s="28">
        <v>332</v>
      </c>
      <c r="E12" s="28">
        <v>194</v>
      </c>
      <c r="F12" s="28">
        <v>262</v>
      </c>
      <c r="G12" s="28">
        <v>12</v>
      </c>
      <c r="H12" s="28">
        <v>3</v>
      </c>
      <c r="I12" s="28">
        <v>64</v>
      </c>
      <c r="K12">
        <f t="shared" si="0"/>
        <v>2910</v>
      </c>
      <c r="L12">
        <f t="shared" si="1"/>
        <v>420</v>
      </c>
      <c r="M12">
        <f t="shared" si="2"/>
        <v>210</v>
      </c>
      <c r="N12" s="35">
        <f t="shared" si="3"/>
        <v>3540</v>
      </c>
    </row>
    <row r="13" spans="2:16" x14ac:dyDescent="0.25">
      <c r="B13" s="28">
        <v>11</v>
      </c>
      <c r="C13" s="29" t="s">
        <v>44</v>
      </c>
      <c r="D13" s="28">
        <v>272</v>
      </c>
      <c r="E13" s="28">
        <v>100</v>
      </c>
      <c r="F13" s="28">
        <v>257</v>
      </c>
      <c r="G13" s="29"/>
      <c r="H13" s="29"/>
      <c r="I13" s="28">
        <v>12</v>
      </c>
      <c r="K13">
        <f t="shared" si="0"/>
        <v>1500</v>
      </c>
      <c r="L13">
        <f t="shared" si="1"/>
        <v>0</v>
      </c>
      <c r="M13">
        <f t="shared" si="2"/>
        <v>0</v>
      </c>
      <c r="N13" s="35">
        <f t="shared" si="3"/>
        <v>1500</v>
      </c>
    </row>
    <row r="14" spans="2:16" x14ac:dyDescent="0.25">
      <c r="B14" s="28">
        <v>12</v>
      </c>
      <c r="C14" s="29" t="s">
        <v>45</v>
      </c>
      <c r="D14" s="28">
        <v>256</v>
      </c>
      <c r="E14" s="28">
        <v>63</v>
      </c>
      <c r="F14" s="28">
        <v>333</v>
      </c>
      <c r="G14" s="28">
        <v>11</v>
      </c>
      <c r="H14" s="29"/>
      <c r="I14" s="28">
        <v>168</v>
      </c>
      <c r="K14">
        <f t="shared" si="0"/>
        <v>945</v>
      </c>
      <c r="L14">
        <f t="shared" si="1"/>
        <v>385</v>
      </c>
      <c r="M14">
        <f t="shared" si="2"/>
        <v>0</v>
      </c>
      <c r="N14" s="35">
        <f t="shared" si="3"/>
        <v>1330</v>
      </c>
    </row>
    <row r="15" spans="2:16" x14ac:dyDescent="0.25">
      <c r="B15" s="28">
        <v>13</v>
      </c>
      <c r="C15" s="29" t="s">
        <v>46</v>
      </c>
      <c r="D15" s="28">
        <v>252</v>
      </c>
      <c r="E15" s="28">
        <v>86</v>
      </c>
      <c r="F15" s="28">
        <v>142</v>
      </c>
      <c r="G15" s="28">
        <v>4</v>
      </c>
      <c r="H15" s="28">
        <v>2</v>
      </c>
      <c r="I15" s="28">
        <v>3</v>
      </c>
      <c r="K15">
        <f t="shared" si="0"/>
        <v>1290</v>
      </c>
      <c r="L15">
        <f t="shared" si="1"/>
        <v>140</v>
      </c>
      <c r="M15">
        <f t="shared" si="2"/>
        <v>140</v>
      </c>
      <c r="N15" s="35">
        <f t="shared" si="3"/>
        <v>1570</v>
      </c>
    </row>
    <row r="16" spans="2:16" x14ac:dyDescent="0.25">
      <c r="B16" s="28">
        <v>14</v>
      </c>
      <c r="C16" s="29" t="s">
        <v>47</v>
      </c>
      <c r="D16" s="28">
        <v>248</v>
      </c>
      <c r="E16" s="28">
        <v>154</v>
      </c>
      <c r="F16" s="28">
        <v>176</v>
      </c>
      <c r="G16" s="28">
        <v>2</v>
      </c>
      <c r="H16" s="28">
        <v>1</v>
      </c>
      <c r="I16" s="28">
        <v>11</v>
      </c>
      <c r="K16">
        <f t="shared" si="0"/>
        <v>2310</v>
      </c>
      <c r="L16">
        <f t="shared" si="1"/>
        <v>70</v>
      </c>
      <c r="M16">
        <f t="shared" si="2"/>
        <v>70</v>
      </c>
      <c r="N16" s="35">
        <f t="shared" si="3"/>
        <v>2450</v>
      </c>
    </row>
    <row r="17" spans="2:14" x14ac:dyDescent="0.25">
      <c r="B17" s="28">
        <v>15</v>
      </c>
      <c r="C17" s="29" t="s">
        <v>18</v>
      </c>
      <c r="D17" s="28">
        <v>202</v>
      </c>
      <c r="E17" s="28">
        <v>108</v>
      </c>
      <c r="F17" s="28">
        <v>197</v>
      </c>
      <c r="G17" s="28">
        <v>16</v>
      </c>
      <c r="H17" s="28">
        <v>3</v>
      </c>
      <c r="I17" s="28">
        <v>15</v>
      </c>
      <c r="K17">
        <f t="shared" si="0"/>
        <v>1620</v>
      </c>
      <c r="L17">
        <f t="shared" si="1"/>
        <v>560</v>
      </c>
      <c r="M17">
        <f t="shared" si="2"/>
        <v>210</v>
      </c>
      <c r="N17" s="35">
        <f t="shared" si="3"/>
        <v>2390</v>
      </c>
    </row>
    <row r="18" spans="2:14" x14ac:dyDescent="0.25">
      <c r="B18" s="28">
        <v>16</v>
      </c>
      <c r="C18" s="29" t="s">
        <v>48</v>
      </c>
      <c r="D18" s="28">
        <v>180</v>
      </c>
      <c r="E18" s="28">
        <v>73</v>
      </c>
      <c r="F18" s="29"/>
      <c r="G18" s="29"/>
      <c r="H18" s="29"/>
      <c r="I18" s="29"/>
      <c r="K18">
        <f t="shared" si="0"/>
        <v>1095</v>
      </c>
      <c r="L18">
        <f t="shared" si="1"/>
        <v>0</v>
      </c>
      <c r="M18">
        <f t="shared" si="2"/>
        <v>0</v>
      </c>
      <c r="N18" s="35">
        <f t="shared" si="3"/>
        <v>1095</v>
      </c>
    </row>
    <row r="19" spans="2:14" x14ac:dyDescent="0.25">
      <c r="B19" s="28">
        <v>17</v>
      </c>
      <c r="C19" s="29" t="s">
        <v>49</v>
      </c>
      <c r="D19" s="28">
        <v>152</v>
      </c>
      <c r="E19" s="28">
        <v>35</v>
      </c>
      <c r="F19" s="28">
        <v>84</v>
      </c>
      <c r="G19" s="29"/>
      <c r="H19" s="29"/>
      <c r="I19" s="28">
        <v>5</v>
      </c>
      <c r="K19">
        <f t="shared" si="0"/>
        <v>525</v>
      </c>
      <c r="L19">
        <f t="shared" si="1"/>
        <v>0</v>
      </c>
      <c r="M19">
        <f t="shared" si="2"/>
        <v>0</v>
      </c>
      <c r="N19" s="35">
        <f t="shared" si="3"/>
        <v>525</v>
      </c>
    </row>
    <row r="20" spans="2:14" x14ac:dyDescent="0.25">
      <c r="B20" s="28">
        <v>18</v>
      </c>
      <c r="C20" s="29" t="s">
        <v>50</v>
      </c>
      <c r="D20" s="28">
        <v>36</v>
      </c>
      <c r="E20" s="28">
        <v>18</v>
      </c>
      <c r="F20" s="28">
        <v>21</v>
      </c>
      <c r="G20" s="29"/>
      <c r="H20" s="29"/>
      <c r="I20" s="28">
        <v>17</v>
      </c>
      <c r="K20">
        <f t="shared" si="0"/>
        <v>270</v>
      </c>
      <c r="L20">
        <f t="shared" si="1"/>
        <v>0</v>
      </c>
      <c r="M20">
        <f t="shared" si="2"/>
        <v>0</v>
      </c>
      <c r="N20" s="35">
        <f t="shared" si="3"/>
        <v>270</v>
      </c>
    </row>
    <row r="21" spans="2:14" x14ac:dyDescent="0.25">
      <c r="B21" s="28">
        <v>19</v>
      </c>
      <c r="C21" s="29" t="s">
        <v>51</v>
      </c>
      <c r="D21" s="28">
        <v>20</v>
      </c>
      <c r="E21" s="28">
        <v>15</v>
      </c>
      <c r="F21" s="28">
        <v>13</v>
      </c>
      <c r="G21" s="28">
        <v>8</v>
      </c>
      <c r="H21" s="28">
        <v>2</v>
      </c>
      <c r="I21" s="28">
        <v>3</v>
      </c>
      <c r="K21">
        <f t="shared" si="0"/>
        <v>225</v>
      </c>
      <c r="L21">
        <f t="shared" si="1"/>
        <v>280</v>
      </c>
      <c r="M21">
        <f t="shared" si="2"/>
        <v>140</v>
      </c>
      <c r="N21" s="35">
        <f t="shared" si="3"/>
        <v>645</v>
      </c>
    </row>
    <row r="22" spans="2:14" x14ac:dyDescent="0.25">
      <c r="B22" s="28">
        <v>20</v>
      </c>
      <c r="C22" s="29" t="s">
        <v>52</v>
      </c>
      <c r="D22" s="28">
        <v>5</v>
      </c>
      <c r="E22" s="28">
        <v>5</v>
      </c>
      <c r="F22" s="28">
        <v>6</v>
      </c>
      <c r="G22" s="29"/>
      <c r="H22" s="29"/>
      <c r="I22" s="28">
        <v>1</v>
      </c>
      <c r="K22">
        <f t="shared" si="0"/>
        <v>75</v>
      </c>
      <c r="L22">
        <f t="shared" si="1"/>
        <v>0</v>
      </c>
      <c r="M22">
        <f t="shared" si="2"/>
        <v>0</v>
      </c>
      <c r="N22" s="35">
        <f t="shared" si="3"/>
        <v>75</v>
      </c>
    </row>
    <row r="23" spans="2:14" x14ac:dyDescent="0.25">
      <c r="B23" s="28">
        <v>21</v>
      </c>
      <c r="C23" s="29" t="s">
        <v>53</v>
      </c>
      <c r="D23" s="28">
        <v>4</v>
      </c>
      <c r="E23" s="28">
        <v>2</v>
      </c>
      <c r="F23" s="28">
        <v>2</v>
      </c>
      <c r="G23" s="28">
        <v>3</v>
      </c>
      <c r="H23" s="29"/>
      <c r="I23" s="28">
        <v>5</v>
      </c>
      <c r="K23">
        <f t="shared" si="0"/>
        <v>30</v>
      </c>
      <c r="L23">
        <f t="shared" si="1"/>
        <v>105</v>
      </c>
      <c r="M23">
        <f t="shared" si="2"/>
        <v>0</v>
      </c>
      <c r="N23" s="35">
        <f t="shared" si="3"/>
        <v>135</v>
      </c>
    </row>
    <row r="24" spans="2:14" x14ac:dyDescent="0.25">
      <c r="B24" s="28">
        <v>22</v>
      </c>
      <c r="C24" s="29" t="s">
        <v>54</v>
      </c>
      <c r="D24" s="28">
        <v>1</v>
      </c>
      <c r="E24" s="28">
        <v>1</v>
      </c>
      <c r="F24" s="29"/>
      <c r="G24" s="28">
        <v>7</v>
      </c>
      <c r="H24" s="28">
        <v>2</v>
      </c>
      <c r="I24" s="28">
        <v>2</v>
      </c>
      <c r="K24">
        <f t="shared" si="0"/>
        <v>15</v>
      </c>
      <c r="L24">
        <f t="shared" si="1"/>
        <v>245</v>
      </c>
      <c r="M24">
        <f t="shared" si="2"/>
        <v>140</v>
      </c>
      <c r="N24" s="35">
        <f t="shared" si="3"/>
        <v>400</v>
      </c>
    </row>
    <row r="25" spans="2:14" x14ac:dyDescent="0.25">
      <c r="B25" s="28">
        <v>23</v>
      </c>
      <c r="C25" s="29" t="s">
        <v>55</v>
      </c>
      <c r="D25" s="28">
        <v>1</v>
      </c>
      <c r="E25" s="28">
        <v>1</v>
      </c>
      <c r="F25" s="28">
        <v>1</v>
      </c>
      <c r="G25" s="28">
        <v>1</v>
      </c>
      <c r="H25" s="29"/>
      <c r="I25" s="28">
        <v>1</v>
      </c>
      <c r="K25">
        <f t="shared" si="0"/>
        <v>15</v>
      </c>
      <c r="L25">
        <f t="shared" si="1"/>
        <v>35</v>
      </c>
      <c r="M25">
        <f t="shared" si="2"/>
        <v>0</v>
      </c>
      <c r="N25" s="35">
        <f t="shared" si="3"/>
        <v>50</v>
      </c>
    </row>
    <row r="26" spans="2:14" x14ac:dyDescent="0.25">
      <c r="B26" s="28">
        <v>24</v>
      </c>
      <c r="C26" s="29" t="s">
        <v>56</v>
      </c>
      <c r="D26" s="29"/>
      <c r="E26" s="29"/>
      <c r="F26" s="29"/>
      <c r="G26" s="29"/>
      <c r="H26" s="29"/>
      <c r="I26" s="29"/>
      <c r="K26">
        <f t="shared" si="0"/>
        <v>0</v>
      </c>
      <c r="L26">
        <f t="shared" si="1"/>
        <v>0</v>
      </c>
      <c r="M26">
        <f t="shared" si="2"/>
        <v>0</v>
      </c>
      <c r="N26" s="35">
        <f t="shared" si="3"/>
        <v>0</v>
      </c>
    </row>
    <row r="27" spans="2:14" x14ac:dyDescent="0.25">
      <c r="B27" s="28">
        <v>25</v>
      </c>
      <c r="C27" s="29" t="s">
        <v>57</v>
      </c>
      <c r="D27" s="29"/>
      <c r="E27" s="29"/>
      <c r="F27" s="29"/>
      <c r="G27" s="29"/>
      <c r="H27" s="29"/>
      <c r="I27" s="29"/>
      <c r="K27">
        <f t="shared" si="0"/>
        <v>0</v>
      </c>
      <c r="L27">
        <f t="shared" si="1"/>
        <v>0</v>
      </c>
      <c r="M27">
        <f t="shared" si="2"/>
        <v>0</v>
      </c>
      <c r="N27" s="35">
        <f t="shared" si="3"/>
        <v>0</v>
      </c>
    </row>
    <row r="28" spans="2:14" x14ac:dyDescent="0.25">
      <c r="B28" s="28">
        <v>26</v>
      </c>
      <c r="C28" s="29" t="s">
        <v>58</v>
      </c>
      <c r="D28" s="29"/>
      <c r="E28" s="29"/>
      <c r="F28" s="29"/>
      <c r="G28" s="29"/>
      <c r="H28" s="29"/>
      <c r="I28" s="29"/>
      <c r="K28">
        <f t="shared" si="0"/>
        <v>0</v>
      </c>
      <c r="L28">
        <f t="shared" si="1"/>
        <v>0</v>
      </c>
      <c r="M28">
        <f t="shared" si="2"/>
        <v>0</v>
      </c>
      <c r="N28" s="35">
        <f t="shared" si="3"/>
        <v>0</v>
      </c>
    </row>
    <row r="29" spans="2:14" x14ac:dyDescent="0.25">
      <c r="B29" s="28">
        <v>27</v>
      </c>
      <c r="C29" s="29" t="s">
        <v>59</v>
      </c>
      <c r="D29" s="29"/>
      <c r="E29" s="29"/>
      <c r="F29" s="29"/>
      <c r="G29" s="29"/>
      <c r="H29" s="29"/>
      <c r="I29" s="29"/>
      <c r="K29">
        <f t="shared" si="0"/>
        <v>0</v>
      </c>
      <c r="L29">
        <f t="shared" si="1"/>
        <v>0</v>
      </c>
      <c r="M29">
        <f t="shared" si="2"/>
        <v>0</v>
      </c>
      <c r="N29" s="35">
        <f t="shared" si="3"/>
        <v>0</v>
      </c>
    </row>
    <row r="30" spans="2:14" x14ac:dyDescent="0.25">
      <c r="B30" s="28">
        <v>28</v>
      </c>
      <c r="C30" s="29" t="s">
        <v>60</v>
      </c>
      <c r="D30" s="29"/>
      <c r="E30" s="29"/>
      <c r="F30" s="29"/>
      <c r="G30" s="29"/>
      <c r="H30" s="29"/>
      <c r="I30" s="29"/>
      <c r="K30">
        <f t="shared" si="0"/>
        <v>0</v>
      </c>
      <c r="L30">
        <f t="shared" si="1"/>
        <v>0</v>
      </c>
      <c r="M30">
        <f t="shared" si="2"/>
        <v>0</v>
      </c>
      <c r="N30" s="35">
        <f t="shared" si="3"/>
        <v>0</v>
      </c>
    </row>
    <row r="31" spans="2:14" x14ac:dyDescent="0.25">
      <c r="B31" s="28">
        <v>29</v>
      </c>
      <c r="C31" s="29" t="s">
        <v>61</v>
      </c>
      <c r="D31" s="29"/>
      <c r="E31" s="29"/>
      <c r="F31" s="29"/>
      <c r="G31" s="29"/>
      <c r="H31" s="29"/>
      <c r="I31" s="29"/>
      <c r="K31">
        <f t="shared" si="0"/>
        <v>0</v>
      </c>
      <c r="L31">
        <f t="shared" si="1"/>
        <v>0</v>
      </c>
      <c r="M31">
        <f t="shared" si="2"/>
        <v>0</v>
      </c>
      <c r="N31" s="35">
        <f t="shared" si="3"/>
        <v>0</v>
      </c>
    </row>
    <row r="32" spans="2:14" x14ac:dyDescent="0.25">
      <c r="B32" s="28">
        <v>30</v>
      </c>
      <c r="C32" s="29" t="s">
        <v>62</v>
      </c>
      <c r="D32" s="29"/>
      <c r="E32" s="29"/>
      <c r="F32" s="29"/>
      <c r="G32" s="29"/>
      <c r="H32" s="29"/>
      <c r="I32" s="29"/>
      <c r="K32">
        <f t="shared" si="0"/>
        <v>0</v>
      </c>
      <c r="L32">
        <f t="shared" si="1"/>
        <v>0</v>
      </c>
      <c r="M32">
        <f t="shared" si="2"/>
        <v>0</v>
      </c>
      <c r="N32" s="35">
        <f t="shared" si="3"/>
        <v>0</v>
      </c>
    </row>
    <row r="33" spans="2:14" x14ac:dyDescent="0.25">
      <c r="B33" s="28">
        <v>31</v>
      </c>
      <c r="C33" s="29" t="s">
        <v>63</v>
      </c>
      <c r="D33" s="29"/>
      <c r="E33" s="29"/>
      <c r="F33" s="29"/>
      <c r="G33" s="29"/>
      <c r="H33" s="29"/>
      <c r="I33" s="29"/>
      <c r="K33">
        <f t="shared" si="0"/>
        <v>0</v>
      </c>
      <c r="L33">
        <f t="shared" si="1"/>
        <v>0</v>
      </c>
      <c r="M33">
        <f t="shared" si="2"/>
        <v>0</v>
      </c>
      <c r="N33" s="35">
        <f t="shared" si="3"/>
        <v>0</v>
      </c>
    </row>
    <row r="34" spans="2:14" x14ac:dyDescent="0.25">
      <c r="B34" s="28">
        <v>32</v>
      </c>
      <c r="C34" s="29" t="s">
        <v>64</v>
      </c>
      <c r="D34" s="29"/>
      <c r="E34" s="29"/>
      <c r="F34" s="29"/>
      <c r="G34" s="29"/>
      <c r="H34" s="29"/>
      <c r="I34" s="29"/>
      <c r="K34">
        <f t="shared" si="0"/>
        <v>0</v>
      </c>
      <c r="L34">
        <f t="shared" si="1"/>
        <v>0</v>
      </c>
      <c r="M34">
        <f t="shared" si="2"/>
        <v>0</v>
      </c>
      <c r="N34" s="35">
        <f t="shared" si="3"/>
        <v>0</v>
      </c>
    </row>
    <row r="35" spans="2:14" x14ac:dyDescent="0.25">
      <c r="B35" s="28">
        <v>33</v>
      </c>
      <c r="C35" s="29" t="s">
        <v>65</v>
      </c>
      <c r="D35" s="29"/>
      <c r="E35" s="29"/>
      <c r="F35" s="29"/>
      <c r="G35" s="29"/>
      <c r="H35" s="29"/>
      <c r="I35" s="29"/>
      <c r="K35">
        <f t="shared" si="0"/>
        <v>0</v>
      </c>
      <c r="L35">
        <f t="shared" si="1"/>
        <v>0</v>
      </c>
      <c r="M35">
        <f t="shared" si="2"/>
        <v>0</v>
      </c>
      <c r="N35" s="35">
        <f t="shared" si="3"/>
        <v>0</v>
      </c>
    </row>
    <row r="36" spans="2:14" x14ac:dyDescent="0.25">
      <c r="B36" s="28">
        <v>34</v>
      </c>
      <c r="C36" s="29" t="s">
        <v>66</v>
      </c>
      <c r="D36" s="29"/>
      <c r="E36" s="29"/>
      <c r="F36" s="29"/>
      <c r="G36" s="29"/>
      <c r="H36" s="29"/>
      <c r="I36" s="29"/>
      <c r="K36">
        <f t="shared" si="0"/>
        <v>0</v>
      </c>
      <c r="L36">
        <f t="shared" si="1"/>
        <v>0</v>
      </c>
      <c r="M36">
        <f t="shared" si="2"/>
        <v>0</v>
      </c>
      <c r="N36" s="35">
        <f t="shared" si="3"/>
        <v>0</v>
      </c>
    </row>
    <row r="37" spans="2:14" x14ac:dyDescent="0.25">
      <c r="B37" s="28">
        <v>35</v>
      </c>
      <c r="C37" s="29" t="s">
        <v>67</v>
      </c>
      <c r="D37" s="29"/>
      <c r="E37" s="29"/>
      <c r="F37" s="29"/>
      <c r="G37" s="29"/>
      <c r="H37" s="29"/>
      <c r="I37" s="29"/>
      <c r="K37">
        <f t="shared" si="0"/>
        <v>0</v>
      </c>
      <c r="L37">
        <f t="shared" si="1"/>
        <v>0</v>
      </c>
      <c r="M37">
        <f t="shared" si="2"/>
        <v>0</v>
      </c>
      <c r="N37" s="35">
        <f t="shared" si="3"/>
        <v>0</v>
      </c>
    </row>
    <row r="38" spans="2:14" x14ac:dyDescent="0.25">
      <c r="B38" s="28">
        <v>36</v>
      </c>
      <c r="C38" s="29" t="s">
        <v>68</v>
      </c>
      <c r="D38" s="29"/>
      <c r="E38" s="29"/>
      <c r="F38" s="29"/>
      <c r="G38" s="29"/>
      <c r="H38" s="29"/>
      <c r="I38" s="29"/>
      <c r="K38">
        <f t="shared" si="0"/>
        <v>0</v>
      </c>
      <c r="L38">
        <f t="shared" si="1"/>
        <v>0</v>
      </c>
      <c r="M38">
        <f t="shared" si="2"/>
        <v>0</v>
      </c>
      <c r="N38" s="35">
        <f t="shared" si="3"/>
        <v>0</v>
      </c>
    </row>
    <row r="39" spans="2:14" x14ac:dyDescent="0.25">
      <c r="B39" s="28">
        <v>37</v>
      </c>
      <c r="C39" s="29" t="s">
        <v>69</v>
      </c>
      <c r="D39" s="29"/>
      <c r="E39" s="29"/>
      <c r="F39" s="29"/>
      <c r="G39" s="28">
        <v>2</v>
      </c>
      <c r="H39" s="28">
        <v>1</v>
      </c>
      <c r="I39" s="29"/>
      <c r="K39">
        <f t="shared" si="0"/>
        <v>0</v>
      </c>
      <c r="L39">
        <f t="shared" si="1"/>
        <v>70</v>
      </c>
      <c r="M39">
        <f t="shared" si="2"/>
        <v>70</v>
      </c>
      <c r="N39" s="35">
        <f t="shared" si="3"/>
        <v>140</v>
      </c>
    </row>
    <row r="40" spans="2:14" x14ac:dyDescent="0.25">
      <c r="B40" s="28">
        <v>38</v>
      </c>
      <c r="C40" s="29" t="s">
        <v>70</v>
      </c>
      <c r="D40" s="29"/>
      <c r="E40" s="29"/>
      <c r="F40" s="29"/>
      <c r="G40" s="29"/>
      <c r="H40" s="29"/>
      <c r="I40" s="29"/>
      <c r="K40">
        <f t="shared" si="0"/>
        <v>0</v>
      </c>
      <c r="L40">
        <f t="shared" si="1"/>
        <v>0</v>
      </c>
      <c r="M40">
        <f t="shared" si="2"/>
        <v>0</v>
      </c>
      <c r="N40" s="35">
        <f t="shared" si="3"/>
        <v>0</v>
      </c>
    </row>
    <row r="41" spans="2:14" x14ac:dyDescent="0.25">
      <c r="B41" s="28">
        <v>39</v>
      </c>
      <c r="C41" s="29" t="s">
        <v>71</v>
      </c>
      <c r="D41" s="29"/>
      <c r="E41" s="29"/>
      <c r="F41" s="29"/>
      <c r="G41" s="29"/>
      <c r="H41" s="29"/>
      <c r="I41" s="29"/>
      <c r="K41">
        <f t="shared" si="0"/>
        <v>0</v>
      </c>
      <c r="L41">
        <f t="shared" si="1"/>
        <v>0</v>
      </c>
      <c r="M41">
        <f t="shared" si="2"/>
        <v>0</v>
      </c>
      <c r="N41" s="35">
        <f t="shared" si="3"/>
        <v>0</v>
      </c>
    </row>
    <row r="42" spans="2:14" x14ac:dyDescent="0.25">
      <c r="B42" s="28">
        <v>40</v>
      </c>
      <c r="C42" s="29" t="s">
        <v>72</v>
      </c>
      <c r="D42" s="29"/>
      <c r="E42" s="29"/>
      <c r="F42" s="29"/>
      <c r="G42" s="29"/>
      <c r="H42" s="29"/>
      <c r="I42" s="29"/>
      <c r="K42">
        <f t="shared" si="0"/>
        <v>0</v>
      </c>
      <c r="L42">
        <f t="shared" si="1"/>
        <v>0</v>
      </c>
      <c r="M42">
        <f t="shared" si="2"/>
        <v>0</v>
      </c>
      <c r="N42" s="35">
        <f t="shared" si="3"/>
        <v>0</v>
      </c>
    </row>
    <row r="43" spans="2:14" x14ac:dyDescent="0.25">
      <c r="B43" s="28">
        <v>41</v>
      </c>
      <c r="C43" s="29" t="s">
        <v>73</v>
      </c>
      <c r="D43" s="29"/>
      <c r="E43" s="29"/>
      <c r="F43" s="29"/>
      <c r="G43" s="29"/>
      <c r="H43" s="29"/>
      <c r="I43" s="29"/>
      <c r="K43">
        <f t="shared" si="0"/>
        <v>0</v>
      </c>
      <c r="L43">
        <f t="shared" si="1"/>
        <v>0</v>
      </c>
      <c r="M43">
        <f t="shared" si="2"/>
        <v>0</v>
      </c>
      <c r="N43" s="35">
        <f t="shared" si="3"/>
        <v>0</v>
      </c>
    </row>
    <row r="44" spans="2:14" x14ac:dyDescent="0.25">
      <c r="B44" s="28">
        <v>42</v>
      </c>
      <c r="C44" s="29" t="s">
        <v>74</v>
      </c>
      <c r="D44" s="29"/>
      <c r="E44" s="29"/>
      <c r="F44" s="29"/>
      <c r="G44" s="29"/>
      <c r="H44" s="29"/>
      <c r="I44" s="29"/>
      <c r="K44">
        <f t="shared" si="0"/>
        <v>0</v>
      </c>
      <c r="L44">
        <f t="shared" si="1"/>
        <v>0</v>
      </c>
      <c r="M44">
        <f t="shared" si="2"/>
        <v>0</v>
      </c>
      <c r="N44" s="35">
        <f t="shared" si="3"/>
        <v>0</v>
      </c>
    </row>
    <row r="45" spans="2:14" x14ac:dyDescent="0.25">
      <c r="B45" s="28">
        <v>43</v>
      </c>
      <c r="C45" s="29" t="s">
        <v>75</v>
      </c>
      <c r="D45" s="29"/>
      <c r="E45" s="29"/>
      <c r="F45" s="29"/>
      <c r="G45" s="29"/>
      <c r="H45" s="29"/>
      <c r="I45" s="29"/>
      <c r="K45">
        <f t="shared" si="0"/>
        <v>0</v>
      </c>
      <c r="L45">
        <f t="shared" si="1"/>
        <v>0</v>
      </c>
      <c r="M45">
        <f t="shared" si="2"/>
        <v>0</v>
      </c>
      <c r="N45" s="35">
        <f t="shared" si="3"/>
        <v>0</v>
      </c>
    </row>
    <row r="46" spans="2:14" x14ac:dyDescent="0.25">
      <c r="B46" s="28">
        <v>44</v>
      </c>
      <c r="C46" s="29" t="s">
        <v>76</v>
      </c>
      <c r="D46" s="29"/>
      <c r="E46" s="29"/>
      <c r="F46" s="29"/>
      <c r="G46" s="29"/>
      <c r="H46" s="29"/>
      <c r="I46" s="29"/>
      <c r="K46">
        <f t="shared" si="0"/>
        <v>0</v>
      </c>
      <c r="L46">
        <f t="shared" si="1"/>
        <v>0</v>
      </c>
      <c r="M46">
        <f t="shared" si="2"/>
        <v>0</v>
      </c>
      <c r="N46" s="35">
        <f t="shared" si="3"/>
        <v>0</v>
      </c>
    </row>
    <row r="47" spans="2:14" x14ac:dyDescent="0.25">
      <c r="B47" s="28">
        <v>45</v>
      </c>
      <c r="C47" s="29" t="s">
        <v>77</v>
      </c>
      <c r="D47" s="29"/>
      <c r="E47" s="29"/>
      <c r="F47" s="29"/>
      <c r="G47" s="29"/>
      <c r="H47" s="29"/>
      <c r="I47" s="29"/>
      <c r="K47">
        <f t="shared" si="0"/>
        <v>0</v>
      </c>
      <c r="L47">
        <f t="shared" si="1"/>
        <v>0</v>
      </c>
      <c r="M47">
        <f t="shared" si="2"/>
        <v>0</v>
      </c>
      <c r="N47" s="35">
        <f t="shared" si="3"/>
        <v>0</v>
      </c>
    </row>
    <row r="48" spans="2:14" x14ac:dyDescent="0.25">
      <c r="B48" s="28">
        <v>46</v>
      </c>
      <c r="C48" s="29" t="s">
        <v>78</v>
      </c>
      <c r="D48" s="29"/>
      <c r="E48" s="29"/>
      <c r="F48" s="29"/>
      <c r="G48" s="29"/>
      <c r="H48" s="29"/>
      <c r="I48" s="29"/>
      <c r="K48">
        <f t="shared" si="0"/>
        <v>0</v>
      </c>
      <c r="L48">
        <f t="shared" si="1"/>
        <v>0</v>
      </c>
      <c r="M48">
        <f t="shared" si="2"/>
        <v>0</v>
      </c>
      <c r="N48" s="35">
        <f t="shared" si="3"/>
        <v>0</v>
      </c>
    </row>
    <row r="49" spans="2:14" x14ac:dyDescent="0.25">
      <c r="B49" s="28">
        <v>47</v>
      </c>
      <c r="C49" s="29" t="s">
        <v>79</v>
      </c>
      <c r="D49" s="29"/>
      <c r="E49" s="29"/>
      <c r="F49" s="29"/>
      <c r="G49" s="29"/>
      <c r="H49" s="29"/>
      <c r="I49" s="29"/>
      <c r="K49">
        <f t="shared" si="0"/>
        <v>0</v>
      </c>
      <c r="L49">
        <f t="shared" si="1"/>
        <v>0</v>
      </c>
      <c r="M49">
        <f t="shared" si="2"/>
        <v>0</v>
      </c>
      <c r="N49" s="35">
        <f t="shared" si="3"/>
        <v>0</v>
      </c>
    </row>
    <row r="50" spans="2:14" x14ac:dyDescent="0.25">
      <c r="B50" s="28">
        <v>48</v>
      </c>
      <c r="C50" s="29" t="s">
        <v>80</v>
      </c>
      <c r="D50" s="29"/>
      <c r="E50" s="29"/>
      <c r="F50" s="29"/>
      <c r="G50" s="29"/>
      <c r="H50" s="29"/>
      <c r="I50" s="29"/>
      <c r="K50">
        <f t="shared" si="0"/>
        <v>0</v>
      </c>
      <c r="L50">
        <f t="shared" si="1"/>
        <v>0</v>
      </c>
      <c r="M50">
        <f t="shared" si="2"/>
        <v>0</v>
      </c>
      <c r="N50" s="35">
        <f t="shared" si="3"/>
        <v>0</v>
      </c>
    </row>
    <row r="51" spans="2:14" x14ac:dyDescent="0.25">
      <c r="B51" s="28">
        <v>49</v>
      </c>
      <c r="C51" s="29" t="s">
        <v>81</v>
      </c>
      <c r="D51" s="29"/>
      <c r="E51" s="29"/>
      <c r="F51" s="29"/>
      <c r="G51" s="29"/>
      <c r="H51" s="29"/>
      <c r="I51" s="29"/>
      <c r="K51">
        <f t="shared" si="0"/>
        <v>0</v>
      </c>
      <c r="L51">
        <f t="shared" si="1"/>
        <v>0</v>
      </c>
      <c r="M51">
        <f t="shared" si="2"/>
        <v>0</v>
      </c>
      <c r="N51" s="35">
        <f t="shared" si="3"/>
        <v>0</v>
      </c>
    </row>
    <row r="52" spans="2:14" x14ac:dyDescent="0.25">
      <c r="B52" s="28">
        <v>50</v>
      </c>
      <c r="C52" s="29" t="s">
        <v>82</v>
      </c>
      <c r="D52" s="29"/>
      <c r="E52" s="29"/>
      <c r="F52" s="29"/>
      <c r="G52" s="29"/>
      <c r="H52" s="29"/>
      <c r="I52" s="29"/>
      <c r="K52">
        <f t="shared" si="0"/>
        <v>0</v>
      </c>
      <c r="L52">
        <f t="shared" si="1"/>
        <v>0</v>
      </c>
      <c r="M52">
        <f t="shared" si="2"/>
        <v>0</v>
      </c>
      <c r="N52" s="35">
        <f t="shared" si="3"/>
        <v>0</v>
      </c>
    </row>
    <row r="53" spans="2:14" x14ac:dyDescent="0.25">
      <c r="B53" s="28">
        <v>51</v>
      </c>
      <c r="C53" s="29" t="s">
        <v>83</v>
      </c>
      <c r="D53" s="29"/>
      <c r="E53" s="29"/>
      <c r="F53" s="29"/>
      <c r="G53" s="29"/>
      <c r="H53" s="29"/>
      <c r="I53" s="29"/>
      <c r="K53">
        <f t="shared" si="0"/>
        <v>0</v>
      </c>
      <c r="L53">
        <f t="shared" si="1"/>
        <v>0</v>
      </c>
      <c r="M53">
        <f t="shared" si="2"/>
        <v>0</v>
      </c>
      <c r="N53" s="35">
        <f t="shared" si="3"/>
        <v>0</v>
      </c>
    </row>
    <row r="54" spans="2:14" x14ac:dyDescent="0.25">
      <c r="B54" s="28">
        <v>52</v>
      </c>
      <c r="C54" s="29" t="s">
        <v>84</v>
      </c>
      <c r="D54" s="29"/>
      <c r="E54" s="29"/>
      <c r="F54" s="29"/>
      <c r="G54" s="29"/>
      <c r="H54" s="29"/>
      <c r="I54" s="29"/>
      <c r="K54">
        <f t="shared" si="0"/>
        <v>0</v>
      </c>
      <c r="L54">
        <f t="shared" si="1"/>
        <v>0</v>
      </c>
      <c r="M54">
        <f t="shared" si="2"/>
        <v>0</v>
      </c>
      <c r="N54" s="35">
        <f t="shared" si="3"/>
        <v>0</v>
      </c>
    </row>
    <row r="55" spans="2:14" x14ac:dyDescent="0.25">
      <c r="B55" s="28">
        <v>53</v>
      </c>
      <c r="C55" s="29" t="s">
        <v>85</v>
      </c>
      <c r="D55" s="29"/>
      <c r="E55" s="29"/>
      <c r="F55" s="29"/>
      <c r="G55" s="29"/>
      <c r="H55" s="29"/>
      <c r="I55" s="29"/>
      <c r="K55">
        <f t="shared" si="0"/>
        <v>0</v>
      </c>
      <c r="L55">
        <f t="shared" si="1"/>
        <v>0</v>
      </c>
      <c r="M55">
        <f t="shared" si="2"/>
        <v>0</v>
      </c>
      <c r="N55" s="35">
        <f t="shared" si="3"/>
        <v>0</v>
      </c>
    </row>
    <row r="56" spans="2:14" x14ac:dyDescent="0.25">
      <c r="B56" s="28">
        <v>54</v>
      </c>
      <c r="C56" s="29" t="s">
        <v>86</v>
      </c>
      <c r="D56" s="29"/>
      <c r="E56" s="29"/>
      <c r="F56" s="29"/>
      <c r="G56" s="29"/>
      <c r="H56" s="29"/>
      <c r="I56" s="29"/>
      <c r="K56">
        <f t="shared" si="0"/>
        <v>0</v>
      </c>
      <c r="L56">
        <f t="shared" si="1"/>
        <v>0</v>
      </c>
      <c r="M56">
        <f t="shared" si="2"/>
        <v>0</v>
      </c>
      <c r="N56" s="35">
        <f t="shared" si="3"/>
        <v>0</v>
      </c>
    </row>
    <row r="57" spans="2:14" x14ac:dyDescent="0.25">
      <c r="B57" s="28">
        <v>55</v>
      </c>
      <c r="C57" s="29" t="s">
        <v>87</v>
      </c>
      <c r="D57" s="29"/>
      <c r="E57" s="29"/>
      <c r="F57" s="29"/>
      <c r="G57" s="28">
        <v>3</v>
      </c>
      <c r="H57" s="29"/>
      <c r="I57" s="29"/>
      <c r="K57">
        <f t="shared" si="0"/>
        <v>0</v>
      </c>
      <c r="L57">
        <f t="shared" si="1"/>
        <v>105</v>
      </c>
      <c r="M57">
        <f t="shared" si="2"/>
        <v>0</v>
      </c>
      <c r="N57" s="35">
        <f t="shared" si="3"/>
        <v>105</v>
      </c>
    </row>
    <row r="58" spans="2:14" x14ac:dyDescent="0.25">
      <c r="B58" s="28">
        <v>56</v>
      </c>
      <c r="C58" s="29" t="s">
        <v>88</v>
      </c>
      <c r="D58" s="29"/>
      <c r="E58" s="29"/>
      <c r="F58" s="29"/>
      <c r="G58" s="29"/>
      <c r="H58" s="29"/>
      <c r="I58" s="29"/>
      <c r="K58">
        <f t="shared" si="0"/>
        <v>0</v>
      </c>
      <c r="L58">
        <f t="shared" si="1"/>
        <v>0</v>
      </c>
      <c r="M58">
        <f t="shared" si="2"/>
        <v>0</v>
      </c>
      <c r="N58" s="35">
        <f t="shared" si="3"/>
        <v>0</v>
      </c>
    </row>
    <row r="59" spans="2:14" x14ac:dyDescent="0.25">
      <c r="B59" s="28">
        <v>57</v>
      </c>
      <c r="C59" s="29" t="s">
        <v>89</v>
      </c>
      <c r="D59" s="29"/>
      <c r="E59" s="29"/>
      <c r="F59" s="29"/>
      <c r="G59" s="29"/>
      <c r="H59" s="29"/>
      <c r="I59" s="29"/>
      <c r="K59">
        <f t="shared" si="0"/>
        <v>0</v>
      </c>
      <c r="L59">
        <f t="shared" si="1"/>
        <v>0</v>
      </c>
      <c r="M59">
        <f t="shared" si="2"/>
        <v>0</v>
      </c>
      <c r="N59" s="35">
        <f t="shared" si="3"/>
        <v>0</v>
      </c>
    </row>
    <row r="60" spans="2:14" x14ac:dyDescent="0.25">
      <c r="B60" s="28">
        <v>58</v>
      </c>
      <c r="C60" s="29" t="s">
        <v>90</v>
      </c>
      <c r="D60" s="29"/>
      <c r="E60" s="29"/>
      <c r="F60" s="29"/>
      <c r="G60" s="29"/>
      <c r="H60" s="29"/>
      <c r="I60" s="29"/>
      <c r="K60">
        <f t="shared" si="0"/>
        <v>0</v>
      </c>
      <c r="L60">
        <f t="shared" si="1"/>
        <v>0</v>
      </c>
      <c r="M60">
        <f t="shared" si="2"/>
        <v>0</v>
      </c>
      <c r="N60" s="35">
        <f t="shared" si="3"/>
        <v>0</v>
      </c>
    </row>
    <row r="61" spans="2:14" x14ac:dyDescent="0.25">
      <c r="B61" s="28">
        <v>59</v>
      </c>
      <c r="C61" s="29" t="s">
        <v>91</v>
      </c>
      <c r="D61" s="29"/>
      <c r="E61" s="29"/>
      <c r="F61" s="29"/>
      <c r="G61" s="29"/>
      <c r="H61" s="29"/>
      <c r="I61" s="29"/>
      <c r="K61">
        <f t="shared" si="0"/>
        <v>0</v>
      </c>
      <c r="L61">
        <f t="shared" si="1"/>
        <v>0</v>
      </c>
      <c r="M61">
        <f t="shared" si="2"/>
        <v>0</v>
      </c>
      <c r="N61" s="35">
        <f t="shared" si="3"/>
        <v>0</v>
      </c>
    </row>
    <row r="62" spans="2:14" x14ac:dyDescent="0.25">
      <c r="B62" s="28">
        <v>60</v>
      </c>
      <c r="C62" s="29" t="s">
        <v>92</v>
      </c>
      <c r="D62" s="29"/>
      <c r="E62" s="29"/>
      <c r="F62" s="29"/>
      <c r="G62" s="29"/>
      <c r="H62" s="29"/>
      <c r="I62" s="29"/>
      <c r="K62">
        <f t="shared" si="0"/>
        <v>0</v>
      </c>
      <c r="L62">
        <f t="shared" si="1"/>
        <v>0</v>
      </c>
      <c r="M62">
        <f t="shared" si="2"/>
        <v>0</v>
      </c>
      <c r="N62" s="35">
        <f t="shared" si="3"/>
        <v>0</v>
      </c>
    </row>
    <row r="63" spans="2:14" x14ac:dyDescent="0.25">
      <c r="B63" s="27"/>
      <c r="C63" s="27"/>
      <c r="D63" s="27"/>
      <c r="E63" s="27"/>
      <c r="F63" s="27"/>
      <c r="G63" s="27"/>
      <c r="H63" s="27"/>
      <c r="I63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O3" sqref="O3"/>
    </sheetView>
  </sheetViews>
  <sheetFormatPr defaultRowHeight="15" outlineLevelCol="1" x14ac:dyDescent="0.25"/>
  <cols>
    <col min="1" max="1" width="3.140625" customWidth="1"/>
    <col min="2" max="2" width="3.85546875" customWidth="1"/>
    <col min="3" max="3" width="17.42578125" bestFit="1" customWidth="1"/>
    <col min="4" max="4" width="9.140625" customWidth="1" outlineLevel="1"/>
    <col min="6" max="6" width="0" hidden="1" customWidth="1" outlineLevel="1"/>
    <col min="7" max="7" width="9.140625" collapsed="1"/>
    <col min="9" max="9" width="0" hidden="1" customWidth="1" outlineLevel="1"/>
    <col min="10" max="10" width="9.140625" collapsed="1"/>
    <col min="12" max="14" width="10.5703125" customWidth="1"/>
    <col min="15" max="15" width="9.140625" style="35"/>
  </cols>
  <sheetData>
    <row r="1" spans="2:17" x14ac:dyDescent="0.25">
      <c r="K1">
        <v>5</v>
      </c>
      <c r="L1">
        <v>5</v>
      </c>
      <c r="M1">
        <v>20</v>
      </c>
      <c r="N1">
        <v>50</v>
      </c>
    </row>
    <row r="2" spans="2:17" x14ac:dyDescent="0.25">
      <c r="B2" s="27" t="s">
        <v>30</v>
      </c>
      <c r="C2" s="27" t="s">
        <v>31</v>
      </c>
      <c r="D2" s="27" t="s">
        <v>32</v>
      </c>
      <c r="E2" s="27" t="s">
        <v>33</v>
      </c>
      <c r="F2" s="27" t="s">
        <v>34</v>
      </c>
      <c r="G2" s="27" t="s">
        <v>28</v>
      </c>
      <c r="H2" s="27" t="s">
        <v>29</v>
      </c>
      <c r="I2" s="27" t="s">
        <v>35</v>
      </c>
      <c r="K2" s="34" t="str">
        <f>D2</f>
        <v>Визиты</v>
      </c>
      <c r="L2" s="34" t="str">
        <f>E2</f>
        <v>Еф визиты</v>
      </c>
      <c r="M2" s="34" t="str">
        <f>G2</f>
        <v>Задания</v>
      </c>
      <c r="N2" s="34" t="str">
        <f>H2</f>
        <v>Заказы</v>
      </c>
      <c r="O2" s="36" t="s">
        <v>93</v>
      </c>
    </row>
    <row r="3" spans="2:17" x14ac:dyDescent="0.25">
      <c r="B3" s="28">
        <v>1</v>
      </c>
      <c r="C3" s="29" t="s">
        <v>36</v>
      </c>
      <c r="D3" s="28">
        <v>489</v>
      </c>
      <c r="E3" s="28">
        <v>227</v>
      </c>
      <c r="F3" s="28">
        <v>602</v>
      </c>
      <c r="G3" s="28">
        <v>13</v>
      </c>
      <c r="H3" s="28">
        <v>3</v>
      </c>
      <c r="I3" s="28">
        <v>78</v>
      </c>
      <c r="K3">
        <f>D3*$K$1</f>
        <v>2445</v>
      </c>
      <c r="L3">
        <f>E3*$L$1</f>
        <v>1135</v>
      </c>
      <c r="M3">
        <f>G3*$M$1</f>
        <v>260</v>
      </c>
      <c r="N3">
        <f>H3*$N$1</f>
        <v>150</v>
      </c>
      <c r="O3" s="35">
        <f>SUM(K3:N3)</f>
        <v>3990</v>
      </c>
    </row>
    <row r="4" spans="2:17" x14ac:dyDescent="0.25">
      <c r="B4" s="28">
        <v>2</v>
      </c>
      <c r="C4" s="29" t="s">
        <v>37</v>
      </c>
      <c r="D4" s="28">
        <v>468</v>
      </c>
      <c r="E4" s="28">
        <v>243</v>
      </c>
      <c r="F4" s="28">
        <v>258</v>
      </c>
      <c r="G4" s="28">
        <v>12</v>
      </c>
      <c r="H4" s="28">
        <v>7</v>
      </c>
      <c r="I4" s="28">
        <v>44</v>
      </c>
      <c r="K4">
        <f t="shared" ref="K4:K62" si="0">D4*$K$1</f>
        <v>2340</v>
      </c>
      <c r="L4">
        <f t="shared" ref="L4:L62" si="1">E4*$L$1</f>
        <v>1215</v>
      </c>
      <c r="M4">
        <f t="shared" ref="M4:M62" si="2">G4*$M$1</f>
        <v>240</v>
      </c>
      <c r="N4">
        <f t="shared" ref="N4:N62" si="3">H4*$N$1</f>
        <v>350</v>
      </c>
      <c r="O4" s="37">
        <f t="shared" ref="O4:O62" si="4">SUM(K4:N4)</f>
        <v>4145</v>
      </c>
      <c r="Q4">
        <f>4/3</f>
        <v>1.3333333333333333</v>
      </c>
    </row>
    <row r="5" spans="2:17" x14ac:dyDescent="0.25">
      <c r="B5" s="28">
        <v>3</v>
      </c>
      <c r="C5" s="29" t="s">
        <v>38</v>
      </c>
      <c r="D5" s="28">
        <v>456</v>
      </c>
      <c r="E5" s="28">
        <v>169</v>
      </c>
      <c r="F5" s="28">
        <v>400</v>
      </c>
      <c r="G5" s="28">
        <v>11</v>
      </c>
      <c r="H5" s="29"/>
      <c r="I5" s="28">
        <v>66</v>
      </c>
      <c r="K5">
        <f t="shared" si="0"/>
        <v>2280</v>
      </c>
      <c r="L5">
        <f t="shared" si="1"/>
        <v>845</v>
      </c>
      <c r="M5">
        <f t="shared" si="2"/>
        <v>220</v>
      </c>
      <c r="N5">
        <f t="shared" si="3"/>
        <v>0</v>
      </c>
      <c r="O5" s="35">
        <f t="shared" si="4"/>
        <v>3345</v>
      </c>
    </row>
    <row r="6" spans="2:17" x14ac:dyDescent="0.25">
      <c r="B6" s="28">
        <v>4</v>
      </c>
      <c r="C6" s="29" t="s">
        <v>39</v>
      </c>
      <c r="D6" s="28">
        <v>423</v>
      </c>
      <c r="E6" s="28">
        <v>196</v>
      </c>
      <c r="F6" s="28">
        <v>341</v>
      </c>
      <c r="G6" s="28">
        <v>9</v>
      </c>
      <c r="H6" s="28">
        <v>4</v>
      </c>
      <c r="I6" s="28">
        <v>103</v>
      </c>
      <c r="K6">
        <f t="shared" si="0"/>
        <v>2115</v>
      </c>
      <c r="L6">
        <f t="shared" si="1"/>
        <v>980</v>
      </c>
      <c r="M6">
        <f t="shared" si="2"/>
        <v>180</v>
      </c>
      <c r="N6">
        <f t="shared" si="3"/>
        <v>200</v>
      </c>
      <c r="O6" s="35">
        <f t="shared" si="4"/>
        <v>3475</v>
      </c>
    </row>
    <row r="7" spans="2:17" x14ac:dyDescent="0.25">
      <c r="B7" s="28">
        <v>5</v>
      </c>
      <c r="C7" s="29" t="s">
        <v>40</v>
      </c>
      <c r="D7" s="28">
        <v>405</v>
      </c>
      <c r="E7" s="28">
        <v>173</v>
      </c>
      <c r="F7" s="28">
        <v>346</v>
      </c>
      <c r="G7" s="28">
        <v>12</v>
      </c>
      <c r="H7" s="29"/>
      <c r="I7" s="28">
        <v>74</v>
      </c>
      <c r="K7">
        <f t="shared" si="0"/>
        <v>2025</v>
      </c>
      <c r="L7">
        <f t="shared" si="1"/>
        <v>865</v>
      </c>
      <c r="M7">
        <f t="shared" si="2"/>
        <v>240</v>
      </c>
      <c r="N7">
        <f t="shared" si="3"/>
        <v>0</v>
      </c>
      <c r="O7" s="35">
        <f t="shared" si="4"/>
        <v>3130</v>
      </c>
    </row>
    <row r="8" spans="2:17" x14ac:dyDescent="0.25">
      <c r="B8" s="28">
        <v>6</v>
      </c>
      <c r="C8" s="29" t="s">
        <v>41</v>
      </c>
      <c r="D8" s="28">
        <v>396</v>
      </c>
      <c r="E8" s="28">
        <v>155</v>
      </c>
      <c r="F8" s="28">
        <v>293</v>
      </c>
      <c r="G8" s="28">
        <v>9</v>
      </c>
      <c r="H8" s="28">
        <v>2</v>
      </c>
      <c r="I8" s="28">
        <v>132</v>
      </c>
      <c r="K8">
        <f t="shared" si="0"/>
        <v>1980</v>
      </c>
      <c r="L8">
        <f t="shared" si="1"/>
        <v>775</v>
      </c>
      <c r="M8">
        <f t="shared" si="2"/>
        <v>180</v>
      </c>
      <c r="N8">
        <f t="shared" si="3"/>
        <v>100</v>
      </c>
      <c r="O8" s="35">
        <f t="shared" si="4"/>
        <v>3035</v>
      </c>
    </row>
    <row r="9" spans="2:17" x14ac:dyDescent="0.25">
      <c r="B9" s="28">
        <v>7</v>
      </c>
      <c r="C9" s="29" t="s">
        <v>13</v>
      </c>
      <c r="D9" s="28">
        <v>395</v>
      </c>
      <c r="E9" s="28">
        <v>126</v>
      </c>
      <c r="F9" s="28">
        <v>349</v>
      </c>
      <c r="G9" s="28">
        <v>7</v>
      </c>
      <c r="H9" s="29"/>
      <c r="I9" s="28">
        <v>54</v>
      </c>
      <c r="K9">
        <f t="shared" si="0"/>
        <v>1975</v>
      </c>
      <c r="L9">
        <f t="shared" si="1"/>
        <v>630</v>
      </c>
      <c r="M9">
        <f t="shared" si="2"/>
        <v>140</v>
      </c>
      <c r="N9">
        <f t="shared" si="3"/>
        <v>0</v>
      </c>
      <c r="O9" s="35">
        <f t="shared" si="4"/>
        <v>2745</v>
      </c>
    </row>
    <row r="10" spans="2:17" x14ac:dyDescent="0.25">
      <c r="B10" s="28">
        <v>8</v>
      </c>
      <c r="C10" s="29" t="s">
        <v>12</v>
      </c>
      <c r="D10" s="28">
        <v>378</v>
      </c>
      <c r="E10" s="28">
        <v>82</v>
      </c>
      <c r="F10" s="28">
        <v>242</v>
      </c>
      <c r="G10" s="28">
        <v>26</v>
      </c>
      <c r="H10" s="28">
        <v>3</v>
      </c>
      <c r="I10" s="28">
        <v>80</v>
      </c>
      <c r="K10">
        <f t="shared" si="0"/>
        <v>1890</v>
      </c>
      <c r="L10">
        <f t="shared" si="1"/>
        <v>410</v>
      </c>
      <c r="M10">
        <f t="shared" si="2"/>
        <v>520</v>
      </c>
      <c r="N10">
        <f t="shared" si="3"/>
        <v>150</v>
      </c>
      <c r="O10" s="35">
        <f t="shared" si="4"/>
        <v>2970</v>
      </c>
    </row>
    <row r="11" spans="2:17" x14ac:dyDescent="0.25">
      <c r="B11" s="28">
        <v>9</v>
      </c>
      <c r="C11" s="29" t="s">
        <v>42</v>
      </c>
      <c r="D11" s="28">
        <v>373</v>
      </c>
      <c r="E11" s="28">
        <v>165</v>
      </c>
      <c r="F11" s="28">
        <v>196</v>
      </c>
      <c r="G11" s="28">
        <v>17</v>
      </c>
      <c r="H11" s="28">
        <v>6</v>
      </c>
      <c r="I11" s="28">
        <v>123</v>
      </c>
      <c r="K11">
        <f t="shared" si="0"/>
        <v>1865</v>
      </c>
      <c r="L11">
        <f t="shared" si="1"/>
        <v>825</v>
      </c>
      <c r="M11">
        <f t="shared" si="2"/>
        <v>340</v>
      </c>
      <c r="N11">
        <f t="shared" si="3"/>
        <v>300</v>
      </c>
      <c r="O11" s="35">
        <f t="shared" si="4"/>
        <v>3330</v>
      </c>
    </row>
    <row r="12" spans="2:17" x14ac:dyDescent="0.25">
      <c r="B12" s="28">
        <v>10</v>
      </c>
      <c r="C12" s="29" t="s">
        <v>43</v>
      </c>
      <c r="D12" s="28">
        <v>332</v>
      </c>
      <c r="E12" s="28">
        <v>194</v>
      </c>
      <c r="F12" s="28">
        <v>262</v>
      </c>
      <c r="G12" s="28">
        <v>12</v>
      </c>
      <c r="H12" s="28">
        <v>3</v>
      </c>
      <c r="I12" s="28">
        <v>64</v>
      </c>
      <c r="K12">
        <f t="shared" si="0"/>
        <v>1660</v>
      </c>
      <c r="L12">
        <f t="shared" si="1"/>
        <v>970</v>
      </c>
      <c r="M12">
        <f t="shared" si="2"/>
        <v>240</v>
      </c>
      <c r="N12">
        <f t="shared" si="3"/>
        <v>150</v>
      </c>
      <c r="O12" s="35">
        <f t="shared" si="4"/>
        <v>3020</v>
      </c>
    </row>
    <row r="13" spans="2:17" x14ac:dyDescent="0.25">
      <c r="B13" s="28">
        <v>11</v>
      </c>
      <c r="C13" s="29" t="s">
        <v>44</v>
      </c>
      <c r="D13" s="28">
        <v>272</v>
      </c>
      <c r="E13" s="28">
        <v>100</v>
      </c>
      <c r="F13" s="28">
        <v>257</v>
      </c>
      <c r="G13" s="29"/>
      <c r="H13" s="29"/>
      <c r="I13" s="28">
        <v>12</v>
      </c>
      <c r="K13">
        <f t="shared" si="0"/>
        <v>1360</v>
      </c>
      <c r="L13">
        <f t="shared" si="1"/>
        <v>500</v>
      </c>
      <c r="M13">
        <f t="shared" si="2"/>
        <v>0</v>
      </c>
      <c r="N13">
        <f t="shared" si="3"/>
        <v>0</v>
      </c>
      <c r="O13" s="35">
        <f t="shared" si="4"/>
        <v>1860</v>
      </c>
    </row>
    <row r="14" spans="2:17" x14ac:dyDescent="0.25">
      <c r="B14" s="28">
        <v>12</v>
      </c>
      <c r="C14" s="29" t="s">
        <v>45</v>
      </c>
      <c r="D14" s="28">
        <v>256</v>
      </c>
      <c r="E14" s="28">
        <v>63</v>
      </c>
      <c r="F14" s="28">
        <v>333</v>
      </c>
      <c r="G14" s="28">
        <v>11</v>
      </c>
      <c r="H14" s="29"/>
      <c r="I14" s="28">
        <v>168</v>
      </c>
      <c r="K14">
        <f t="shared" si="0"/>
        <v>1280</v>
      </c>
      <c r="L14">
        <f t="shared" si="1"/>
        <v>315</v>
      </c>
      <c r="M14">
        <f t="shared" si="2"/>
        <v>220</v>
      </c>
      <c r="N14">
        <f t="shared" si="3"/>
        <v>0</v>
      </c>
      <c r="O14" s="35">
        <f t="shared" si="4"/>
        <v>1815</v>
      </c>
    </row>
    <row r="15" spans="2:17" x14ac:dyDescent="0.25">
      <c r="B15" s="28">
        <v>13</v>
      </c>
      <c r="C15" s="29" t="s">
        <v>46</v>
      </c>
      <c r="D15" s="28">
        <v>252</v>
      </c>
      <c r="E15" s="28">
        <v>86</v>
      </c>
      <c r="F15" s="28">
        <v>142</v>
      </c>
      <c r="G15" s="28">
        <v>4</v>
      </c>
      <c r="H15" s="28">
        <v>2</v>
      </c>
      <c r="I15" s="28">
        <v>3</v>
      </c>
      <c r="K15">
        <f t="shared" si="0"/>
        <v>1260</v>
      </c>
      <c r="L15">
        <f t="shared" si="1"/>
        <v>430</v>
      </c>
      <c r="M15">
        <f t="shared" si="2"/>
        <v>80</v>
      </c>
      <c r="N15">
        <f t="shared" si="3"/>
        <v>100</v>
      </c>
      <c r="O15" s="35">
        <f t="shared" si="4"/>
        <v>1870</v>
      </c>
    </row>
    <row r="16" spans="2:17" x14ac:dyDescent="0.25">
      <c r="B16" s="28">
        <v>14</v>
      </c>
      <c r="C16" s="29" t="s">
        <v>47</v>
      </c>
      <c r="D16" s="28">
        <v>248</v>
      </c>
      <c r="E16" s="28">
        <v>154</v>
      </c>
      <c r="F16" s="28">
        <v>176</v>
      </c>
      <c r="G16" s="28">
        <v>2</v>
      </c>
      <c r="H16" s="28">
        <v>1</v>
      </c>
      <c r="I16" s="28">
        <v>11</v>
      </c>
      <c r="K16">
        <f t="shared" si="0"/>
        <v>1240</v>
      </c>
      <c r="L16">
        <f t="shared" si="1"/>
        <v>770</v>
      </c>
      <c r="M16">
        <f t="shared" si="2"/>
        <v>40</v>
      </c>
      <c r="N16">
        <f t="shared" si="3"/>
        <v>50</v>
      </c>
      <c r="O16" s="35">
        <f t="shared" si="4"/>
        <v>2100</v>
      </c>
    </row>
    <row r="17" spans="2:15" x14ac:dyDescent="0.25">
      <c r="B17" s="28">
        <v>15</v>
      </c>
      <c r="C17" s="29" t="s">
        <v>18</v>
      </c>
      <c r="D17" s="28">
        <v>202</v>
      </c>
      <c r="E17" s="28">
        <v>108</v>
      </c>
      <c r="F17" s="28">
        <v>197</v>
      </c>
      <c r="G17" s="28">
        <v>16</v>
      </c>
      <c r="H17" s="28">
        <v>3</v>
      </c>
      <c r="I17" s="28">
        <v>15</v>
      </c>
      <c r="K17">
        <f t="shared" si="0"/>
        <v>1010</v>
      </c>
      <c r="L17">
        <f t="shared" si="1"/>
        <v>540</v>
      </c>
      <c r="M17">
        <f t="shared" si="2"/>
        <v>320</v>
      </c>
      <c r="N17">
        <f t="shared" si="3"/>
        <v>150</v>
      </c>
      <c r="O17" s="35">
        <f t="shared" si="4"/>
        <v>2020</v>
      </c>
    </row>
    <row r="18" spans="2:15" x14ac:dyDescent="0.25">
      <c r="B18" s="28">
        <v>16</v>
      </c>
      <c r="C18" s="29" t="s">
        <v>48</v>
      </c>
      <c r="D18" s="28">
        <v>180</v>
      </c>
      <c r="E18" s="28">
        <v>73</v>
      </c>
      <c r="F18" s="29"/>
      <c r="G18" s="29"/>
      <c r="H18" s="29"/>
      <c r="I18" s="29"/>
      <c r="K18">
        <f t="shared" si="0"/>
        <v>900</v>
      </c>
      <c r="L18">
        <f t="shared" si="1"/>
        <v>365</v>
      </c>
      <c r="M18">
        <f t="shared" si="2"/>
        <v>0</v>
      </c>
      <c r="N18">
        <f t="shared" si="3"/>
        <v>0</v>
      </c>
      <c r="O18" s="35">
        <f t="shared" si="4"/>
        <v>1265</v>
      </c>
    </row>
    <row r="19" spans="2:15" x14ac:dyDescent="0.25">
      <c r="B19" s="28">
        <v>17</v>
      </c>
      <c r="C19" s="29" t="s">
        <v>49</v>
      </c>
      <c r="D19" s="28">
        <v>152</v>
      </c>
      <c r="E19" s="28">
        <v>35</v>
      </c>
      <c r="F19" s="28">
        <v>84</v>
      </c>
      <c r="G19" s="29"/>
      <c r="H19" s="29"/>
      <c r="I19" s="28">
        <v>5</v>
      </c>
      <c r="K19">
        <f t="shared" si="0"/>
        <v>760</v>
      </c>
      <c r="L19">
        <f t="shared" si="1"/>
        <v>175</v>
      </c>
      <c r="M19">
        <f t="shared" si="2"/>
        <v>0</v>
      </c>
      <c r="N19">
        <f t="shared" si="3"/>
        <v>0</v>
      </c>
      <c r="O19" s="35">
        <f t="shared" si="4"/>
        <v>935</v>
      </c>
    </row>
    <row r="20" spans="2:15" x14ac:dyDescent="0.25">
      <c r="B20" s="28">
        <v>18</v>
      </c>
      <c r="C20" s="29" t="s">
        <v>50</v>
      </c>
      <c r="D20" s="28">
        <v>36</v>
      </c>
      <c r="E20" s="28">
        <v>18</v>
      </c>
      <c r="F20" s="28">
        <v>21</v>
      </c>
      <c r="G20" s="29"/>
      <c r="H20" s="29"/>
      <c r="I20" s="28">
        <v>17</v>
      </c>
      <c r="K20">
        <f t="shared" si="0"/>
        <v>180</v>
      </c>
      <c r="L20">
        <f t="shared" si="1"/>
        <v>90</v>
      </c>
      <c r="M20">
        <f t="shared" si="2"/>
        <v>0</v>
      </c>
      <c r="N20">
        <f t="shared" si="3"/>
        <v>0</v>
      </c>
      <c r="O20" s="35">
        <f t="shared" si="4"/>
        <v>270</v>
      </c>
    </row>
    <row r="21" spans="2:15" x14ac:dyDescent="0.25">
      <c r="B21" s="28">
        <v>19</v>
      </c>
      <c r="C21" s="29" t="s">
        <v>51</v>
      </c>
      <c r="D21" s="28">
        <v>20</v>
      </c>
      <c r="E21" s="28">
        <v>15</v>
      </c>
      <c r="F21" s="28">
        <v>13</v>
      </c>
      <c r="G21" s="28">
        <v>8</v>
      </c>
      <c r="H21" s="28">
        <v>2</v>
      </c>
      <c r="I21" s="28">
        <v>3</v>
      </c>
      <c r="K21">
        <f t="shared" si="0"/>
        <v>100</v>
      </c>
      <c r="L21">
        <f t="shared" si="1"/>
        <v>75</v>
      </c>
      <c r="M21">
        <f t="shared" si="2"/>
        <v>160</v>
      </c>
      <c r="N21">
        <f t="shared" si="3"/>
        <v>100</v>
      </c>
      <c r="O21" s="35">
        <f t="shared" si="4"/>
        <v>435</v>
      </c>
    </row>
    <row r="22" spans="2:15" x14ac:dyDescent="0.25">
      <c r="B22" s="28">
        <v>20</v>
      </c>
      <c r="C22" s="29" t="s">
        <v>52</v>
      </c>
      <c r="D22" s="28">
        <v>5</v>
      </c>
      <c r="E22" s="28">
        <v>5</v>
      </c>
      <c r="F22" s="28">
        <v>6</v>
      </c>
      <c r="G22" s="29"/>
      <c r="H22" s="29"/>
      <c r="I22" s="28">
        <v>1</v>
      </c>
      <c r="K22">
        <f t="shared" si="0"/>
        <v>25</v>
      </c>
      <c r="L22">
        <f t="shared" si="1"/>
        <v>25</v>
      </c>
      <c r="M22">
        <f t="shared" si="2"/>
        <v>0</v>
      </c>
      <c r="N22">
        <f t="shared" si="3"/>
        <v>0</v>
      </c>
      <c r="O22" s="35">
        <f t="shared" si="4"/>
        <v>50</v>
      </c>
    </row>
    <row r="23" spans="2:15" x14ac:dyDescent="0.25">
      <c r="B23" s="28">
        <v>21</v>
      </c>
      <c r="C23" s="29" t="s">
        <v>53</v>
      </c>
      <c r="D23" s="28">
        <v>4</v>
      </c>
      <c r="E23" s="28">
        <v>2</v>
      </c>
      <c r="F23" s="28">
        <v>2</v>
      </c>
      <c r="G23" s="28">
        <v>3</v>
      </c>
      <c r="H23" s="29"/>
      <c r="I23" s="28">
        <v>5</v>
      </c>
      <c r="K23">
        <f t="shared" si="0"/>
        <v>20</v>
      </c>
      <c r="L23">
        <f t="shared" si="1"/>
        <v>10</v>
      </c>
      <c r="M23">
        <f t="shared" si="2"/>
        <v>60</v>
      </c>
      <c r="N23">
        <f t="shared" si="3"/>
        <v>0</v>
      </c>
      <c r="O23" s="35">
        <f t="shared" si="4"/>
        <v>90</v>
      </c>
    </row>
    <row r="24" spans="2:15" x14ac:dyDescent="0.25">
      <c r="B24" s="28">
        <v>22</v>
      </c>
      <c r="C24" s="29" t="s">
        <v>54</v>
      </c>
      <c r="D24" s="28">
        <v>1</v>
      </c>
      <c r="E24" s="28">
        <v>1</v>
      </c>
      <c r="F24" s="29"/>
      <c r="G24" s="28">
        <v>7</v>
      </c>
      <c r="H24" s="28">
        <v>2</v>
      </c>
      <c r="I24" s="28">
        <v>2</v>
      </c>
      <c r="K24">
        <f t="shared" si="0"/>
        <v>5</v>
      </c>
      <c r="L24">
        <f t="shared" si="1"/>
        <v>5</v>
      </c>
      <c r="M24">
        <f t="shared" si="2"/>
        <v>140</v>
      </c>
      <c r="N24">
        <f t="shared" si="3"/>
        <v>100</v>
      </c>
      <c r="O24" s="35">
        <f t="shared" si="4"/>
        <v>250</v>
      </c>
    </row>
    <row r="25" spans="2:15" x14ac:dyDescent="0.25">
      <c r="B25" s="28">
        <v>23</v>
      </c>
      <c r="C25" s="29" t="s">
        <v>55</v>
      </c>
      <c r="D25" s="28">
        <v>1</v>
      </c>
      <c r="E25" s="28">
        <v>1</v>
      </c>
      <c r="F25" s="28">
        <v>1</v>
      </c>
      <c r="G25" s="28">
        <v>1</v>
      </c>
      <c r="H25" s="29"/>
      <c r="I25" s="28">
        <v>1</v>
      </c>
      <c r="K25">
        <f t="shared" si="0"/>
        <v>5</v>
      </c>
      <c r="L25">
        <f t="shared" si="1"/>
        <v>5</v>
      </c>
      <c r="M25">
        <f t="shared" si="2"/>
        <v>20</v>
      </c>
      <c r="N25">
        <f t="shared" si="3"/>
        <v>0</v>
      </c>
      <c r="O25" s="35">
        <f t="shared" si="4"/>
        <v>30</v>
      </c>
    </row>
    <row r="26" spans="2:15" x14ac:dyDescent="0.25">
      <c r="B26" s="28">
        <v>24</v>
      </c>
      <c r="C26" s="29" t="s">
        <v>56</v>
      </c>
      <c r="D26" s="29"/>
      <c r="E26" s="29"/>
      <c r="F26" s="29"/>
      <c r="G26" s="29"/>
      <c r="H26" s="29"/>
      <c r="I26" s="29"/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0</v>
      </c>
      <c r="O26" s="35">
        <f t="shared" si="4"/>
        <v>0</v>
      </c>
    </row>
    <row r="27" spans="2:15" x14ac:dyDescent="0.25">
      <c r="B27" s="28">
        <v>25</v>
      </c>
      <c r="C27" s="29" t="s">
        <v>57</v>
      </c>
      <c r="D27" s="29"/>
      <c r="E27" s="29"/>
      <c r="F27" s="29"/>
      <c r="G27" s="29"/>
      <c r="H27" s="29"/>
      <c r="I27" s="29"/>
      <c r="K27">
        <f t="shared" si="0"/>
        <v>0</v>
      </c>
      <c r="L27">
        <f t="shared" si="1"/>
        <v>0</v>
      </c>
      <c r="M27">
        <f t="shared" si="2"/>
        <v>0</v>
      </c>
      <c r="N27">
        <f t="shared" si="3"/>
        <v>0</v>
      </c>
      <c r="O27" s="35">
        <f t="shared" si="4"/>
        <v>0</v>
      </c>
    </row>
    <row r="28" spans="2:15" x14ac:dyDescent="0.25">
      <c r="B28" s="28">
        <v>26</v>
      </c>
      <c r="C28" s="29" t="s">
        <v>58</v>
      </c>
      <c r="D28" s="29"/>
      <c r="E28" s="29"/>
      <c r="F28" s="29"/>
      <c r="G28" s="29"/>
      <c r="H28" s="29"/>
      <c r="I28" s="29"/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 s="35">
        <f t="shared" si="4"/>
        <v>0</v>
      </c>
    </row>
    <row r="29" spans="2:15" x14ac:dyDescent="0.25">
      <c r="B29" s="28">
        <v>27</v>
      </c>
      <c r="C29" s="29" t="s">
        <v>59</v>
      </c>
      <c r="D29" s="29"/>
      <c r="E29" s="29"/>
      <c r="F29" s="29"/>
      <c r="G29" s="29"/>
      <c r="H29" s="29"/>
      <c r="I29" s="29"/>
      <c r="K29">
        <f t="shared" si="0"/>
        <v>0</v>
      </c>
      <c r="L29">
        <f t="shared" si="1"/>
        <v>0</v>
      </c>
      <c r="M29">
        <f t="shared" si="2"/>
        <v>0</v>
      </c>
      <c r="N29">
        <f t="shared" si="3"/>
        <v>0</v>
      </c>
      <c r="O29" s="35">
        <f t="shared" si="4"/>
        <v>0</v>
      </c>
    </row>
    <row r="30" spans="2:15" x14ac:dyDescent="0.25">
      <c r="B30" s="28">
        <v>28</v>
      </c>
      <c r="C30" s="29" t="s">
        <v>60</v>
      </c>
      <c r="D30" s="29"/>
      <c r="E30" s="29"/>
      <c r="F30" s="29"/>
      <c r="G30" s="29"/>
      <c r="H30" s="29"/>
      <c r="I30" s="29"/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 s="35">
        <f t="shared" si="4"/>
        <v>0</v>
      </c>
    </row>
    <row r="31" spans="2:15" x14ac:dyDescent="0.25">
      <c r="B31" s="28">
        <v>29</v>
      </c>
      <c r="C31" s="29" t="s">
        <v>61</v>
      </c>
      <c r="D31" s="29"/>
      <c r="E31" s="29"/>
      <c r="F31" s="29"/>
      <c r="G31" s="29"/>
      <c r="H31" s="29"/>
      <c r="I31" s="29"/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0</v>
      </c>
      <c r="O31" s="35">
        <f t="shared" si="4"/>
        <v>0</v>
      </c>
    </row>
    <row r="32" spans="2:15" x14ac:dyDescent="0.25">
      <c r="B32" s="28">
        <v>30</v>
      </c>
      <c r="C32" s="29" t="s">
        <v>62</v>
      </c>
      <c r="D32" s="29"/>
      <c r="E32" s="29"/>
      <c r="F32" s="29"/>
      <c r="G32" s="29"/>
      <c r="H32" s="29"/>
      <c r="I32" s="29"/>
      <c r="K32">
        <f t="shared" si="0"/>
        <v>0</v>
      </c>
      <c r="L32">
        <f t="shared" si="1"/>
        <v>0</v>
      </c>
      <c r="M32">
        <f t="shared" si="2"/>
        <v>0</v>
      </c>
      <c r="N32">
        <f t="shared" si="3"/>
        <v>0</v>
      </c>
      <c r="O32" s="35">
        <f t="shared" si="4"/>
        <v>0</v>
      </c>
    </row>
    <row r="33" spans="2:15" x14ac:dyDescent="0.25">
      <c r="B33" s="28">
        <v>31</v>
      </c>
      <c r="C33" s="29" t="s">
        <v>63</v>
      </c>
      <c r="D33" s="29"/>
      <c r="E33" s="29"/>
      <c r="F33" s="29"/>
      <c r="G33" s="29"/>
      <c r="H33" s="29"/>
      <c r="I33" s="29"/>
      <c r="K33">
        <f t="shared" si="0"/>
        <v>0</v>
      </c>
      <c r="L33">
        <f t="shared" si="1"/>
        <v>0</v>
      </c>
      <c r="M33">
        <f t="shared" si="2"/>
        <v>0</v>
      </c>
      <c r="N33">
        <f t="shared" si="3"/>
        <v>0</v>
      </c>
      <c r="O33" s="35">
        <f t="shared" si="4"/>
        <v>0</v>
      </c>
    </row>
    <row r="34" spans="2:15" x14ac:dyDescent="0.25">
      <c r="B34" s="28">
        <v>32</v>
      </c>
      <c r="C34" s="29" t="s">
        <v>64</v>
      </c>
      <c r="D34" s="29"/>
      <c r="E34" s="29"/>
      <c r="F34" s="29"/>
      <c r="G34" s="29"/>
      <c r="H34" s="29"/>
      <c r="I34" s="29"/>
      <c r="K34">
        <f t="shared" si="0"/>
        <v>0</v>
      </c>
      <c r="L34">
        <f t="shared" si="1"/>
        <v>0</v>
      </c>
      <c r="M34">
        <f t="shared" si="2"/>
        <v>0</v>
      </c>
      <c r="N34">
        <f t="shared" si="3"/>
        <v>0</v>
      </c>
      <c r="O34" s="35">
        <f t="shared" si="4"/>
        <v>0</v>
      </c>
    </row>
    <row r="35" spans="2:15" x14ac:dyDescent="0.25">
      <c r="B35" s="28">
        <v>33</v>
      </c>
      <c r="C35" s="29" t="s">
        <v>65</v>
      </c>
      <c r="D35" s="29"/>
      <c r="E35" s="29"/>
      <c r="F35" s="29"/>
      <c r="G35" s="29"/>
      <c r="H35" s="29"/>
      <c r="I35" s="29"/>
      <c r="K35">
        <f t="shared" si="0"/>
        <v>0</v>
      </c>
      <c r="L35">
        <f t="shared" si="1"/>
        <v>0</v>
      </c>
      <c r="M35">
        <f t="shared" si="2"/>
        <v>0</v>
      </c>
      <c r="N35">
        <f t="shared" si="3"/>
        <v>0</v>
      </c>
      <c r="O35" s="35">
        <f t="shared" si="4"/>
        <v>0</v>
      </c>
    </row>
    <row r="36" spans="2:15" x14ac:dyDescent="0.25">
      <c r="B36" s="28">
        <v>34</v>
      </c>
      <c r="C36" s="29" t="s">
        <v>66</v>
      </c>
      <c r="D36" s="29"/>
      <c r="E36" s="29"/>
      <c r="F36" s="29"/>
      <c r="G36" s="29"/>
      <c r="H36" s="29"/>
      <c r="I36" s="29"/>
      <c r="K36">
        <f t="shared" si="0"/>
        <v>0</v>
      </c>
      <c r="L36">
        <f t="shared" si="1"/>
        <v>0</v>
      </c>
      <c r="M36">
        <f t="shared" si="2"/>
        <v>0</v>
      </c>
      <c r="N36">
        <f t="shared" si="3"/>
        <v>0</v>
      </c>
      <c r="O36" s="35">
        <f t="shared" si="4"/>
        <v>0</v>
      </c>
    </row>
    <row r="37" spans="2:15" x14ac:dyDescent="0.25">
      <c r="B37" s="28">
        <v>35</v>
      </c>
      <c r="C37" s="29" t="s">
        <v>67</v>
      </c>
      <c r="D37" s="29"/>
      <c r="E37" s="29"/>
      <c r="F37" s="29"/>
      <c r="G37" s="29"/>
      <c r="H37" s="29"/>
      <c r="I37" s="29"/>
      <c r="K37">
        <f t="shared" si="0"/>
        <v>0</v>
      </c>
      <c r="L37">
        <f t="shared" si="1"/>
        <v>0</v>
      </c>
      <c r="M37">
        <f t="shared" si="2"/>
        <v>0</v>
      </c>
      <c r="N37">
        <f t="shared" si="3"/>
        <v>0</v>
      </c>
      <c r="O37" s="35">
        <f t="shared" si="4"/>
        <v>0</v>
      </c>
    </row>
    <row r="38" spans="2:15" x14ac:dyDescent="0.25">
      <c r="B38" s="28">
        <v>36</v>
      </c>
      <c r="C38" s="29" t="s">
        <v>68</v>
      </c>
      <c r="D38" s="29"/>
      <c r="E38" s="29"/>
      <c r="F38" s="29"/>
      <c r="G38" s="29"/>
      <c r="H38" s="29"/>
      <c r="I38" s="29"/>
      <c r="K38">
        <f t="shared" si="0"/>
        <v>0</v>
      </c>
      <c r="L38">
        <f t="shared" si="1"/>
        <v>0</v>
      </c>
      <c r="M38">
        <f t="shared" si="2"/>
        <v>0</v>
      </c>
      <c r="N38">
        <f t="shared" si="3"/>
        <v>0</v>
      </c>
      <c r="O38" s="35">
        <f t="shared" si="4"/>
        <v>0</v>
      </c>
    </row>
    <row r="39" spans="2:15" x14ac:dyDescent="0.25">
      <c r="B39" s="28">
        <v>37</v>
      </c>
      <c r="C39" s="29" t="s">
        <v>69</v>
      </c>
      <c r="D39" s="29"/>
      <c r="E39" s="29"/>
      <c r="F39" s="29"/>
      <c r="G39" s="28">
        <v>2</v>
      </c>
      <c r="H39" s="28">
        <v>1</v>
      </c>
      <c r="I39" s="29"/>
      <c r="K39">
        <f t="shared" si="0"/>
        <v>0</v>
      </c>
      <c r="L39">
        <f t="shared" si="1"/>
        <v>0</v>
      </c>
      <c r="M39">
        <f t="shared" si="2"/>
        <v>40</v>
      </c>
      <c r="N39">
        <f t="shared" si="3"/>
        <v>50</v>
      </c>
      <c r="O39" s="35">
        <f t="shared" si="4"/>
        <v>90</v>
      </c>
    </row>
    <row r="40" spans="2:15" x14ac:dyDescent="0.25">
      <c r="B40" s="28">
        <v>38</v>
      </c>
      <c r="C40" s="29" t="s">
        <v>70</v>
      </c>
      <c r="D40" s="29"/>
      <c r="E40" s="29"/>
      <c r="F40" s="29"/>
      <c r="G40" s="29"/>
      <c r="H40" s="29"/>
      <c r="I40" s="29"/>
      <c r="K40">
        <f t="shared" si="0"/>
        <v>0</v>
      </c>
      <c r="L40">
        <f t="shared" si="1"/>
        <v>0</v>
      </c>
      <c r="M40">
        <f t="shared" si="2"/>
        <v>0</v>
      </c>
      <c r="N40">
        <f t="shared" si="3"/>
        <v>0</v>
      </c>
      <c r="O40" s="35">
        <f t="shared" si="4"/>
        <v>0</v>
      </c>
    </row>
    <row r="41" spans="2:15" x14ac:dyDescent="0.25">
      <c r="B41" s="28">
        <v>39</v>
      </c>
      <c r="C41" s="29" t="s">
        <v>71</v>
      </c>
      <c r="D41" s="29"/>
      <c r="E41" s="29"/>
      <c r="F41" s="29"/>
      <c r="G41" s="29"/>
      <c r="H41" s="29"/>
      <c r="I41" s="29"/>
      <c r="K41">
        <f t="shared" si="0"/>
        <v>0</v>
      </c>
      <c r="L41">
        <f t="shared" si="1"/>
        <v>0</v>
      </c>
      <c r="M41">
        <f t="shared" si="2"/>
        <v>0</v>
      </c>
      <c r="N41">
        <f t="shared" si="3"/>
        <v>0</v>
      </c>
      <c r="O41" s="35">
        <f t="shared" si="4"/>
        <v>0</v>
      </c>
    </row>
    <row r="42" spans="2:15" x14ac:dyDescent="0.25">
      <c r="B42" s="28">
        <v>40</v>
      </c>
      <c r="C42" s="29" t="s">
        <v>72</v>
      </c>
      <c r="D42" s="29"/>
      <c r="E42" s="29"/>
      <c r="F42" s="29"/>
      <c r="G42" s="29"/>
      <c r="H42" s="29"/>
      <c r="I42" s="29"/>
      <c r="K42">
        <f t="shared" si="0"/>
        <v>0</v>
      </c>
      <c r="L42">
        <f t="shared" si="1"/>
        <v>0</v>
      </c>
      <c r="M42">
        <f t="shared" si="2"/>
        <v>0</v>
      </c>
      <c r="N42">
        <f t="shared" si="3"/>
        <v>0</v>
      </c>
      <c r="O42" s="35">
        <f t="shared" si="4"/>
        <v>0</v>
      </c>
    </row>
    <row r="43" spans="2:15" x14ac:dyDescent="0.25">
      <c r="B43" s="28">
        <v>41</v>
      </c>
      <c r="C43" s="29" t="s">
        <v>73</v>
      </c>
      <c r="D43" s="29"/>
      <c r="E43" s="29"/>
      <c r="F43" s="29"/>
      <c r="G43" s="29"/>
      <c r="H43" s="29"/>
      <c r="I43" s="29"/>
      <c r="K43">
        <f t="shared" si="0"/>
        <v>0</v>
      </c>
      <c r="L43">
        <f t="shared" si="1"/>
        <v>0</v>
      </c>
      <c r="M43">
        <f t="shared" si="2"/>
        <v>0</v>
      </c>
      <c r="N43">
        <f t="shared" si="3"/>
        <v>0</v>
      </c>
      <c r="O43" s="35">
        <f t="shared" si="4"/>
        <v>0</v>
      </c>
    </row>
    <row r="44" spans="2:15" x14ac:dyDescent="0.25">
      <c r="B44" s="28">
        <v>42</v>
      </c>
      <c r="C44" s="29" t="s">
        <v>74</v>
      </c>
      <c r="D44" s="29"/>
      <c r="E44" s="29"/>
      <c r="F44" s="29"/>
      <c r="G44" s="29"/>
      <c r="H44" s="29"/>
      <c r="I44" s="29"/>
      <c r="K44">
        <f t="shared" si="0"/>
        <v>0</v>
      </c>
      <c r="L44">
        <f t="shared" si="1"/>
        <v>0</v>
      </c>
      <c r="M44">
        <f t="shared" si="2"/>
        <v>0</v>
      </c>
      <c r="N44">
        <f t="shared" si="3"/>
        <v>0</v>
      </c>
      <c r="O44" s="35">
        <f t="shared" si="4"/>
        <v>0</v>
      </c>
    </row>
    <row r="45" spans="2:15" x14ac:dyDescent="0.25">
      <c r="B45" s="28">
        <v>43</v>
      </c>
      <c r="C45" s="29" t="s">
        <v>75</v>
      </c>
      <c r="D45" s="29"/>
      <c r="E45" s="29"/>
      <c r="F45" s="29"/>
      <c r="G45" s="29"/>
      <c r="H45" s="29"/>
      <c r="I45" s="29"/>
      <c r="K45">
        <f t="shared" si="0"/>
        <v>0</v>
      </c>
      <c r="L45">
        <f t="shared" si="1"/>
        <v>0</v>
      </c>
      <c r="M45">
        <f t="shared" si="2"/>
        <v>0</v>
      </c>
      <c r="N45">
        <f t="shared" si="3"/>
        <v>0</v>
      </c>
      <c r="O45" s="35">
        <f t="shared" si="4"/>
        <v>0</v>
      </c>
    </row>
    <row r="46" spans="2:15" x14ac:dyDescent="0.25">
      <c r="B46" s="28">
        <v>44</v>
      </c>
      <c r="C46" s="29" t="s">
        <v>76</v>
      </c>
      <c r="D46" s="29"/>
      <c r="E46" s="29"/>
      <c r="F46" s="29"/>
      <c r="G46" s="29"/>
      <c r="H46" s="29"/>
      <c r="I46" s="29"/>
      <c r="K46">
        <f t="shared" si="0"/>
        <v>0</v>
      </c>
      <c r="L46">
        <f t="shared" si="1"/>
        <v>0</v>
      </c>
      <c r="M46">
        <f t="shared" si="2"/>
        <v>0</v>
      </c>
      <c r="N46">
        <f t="shared" si="3"/>
        <v>0</v>
      </c>
      <c r="O46" s="35">
        <f t="shared" si="4"/>
        <v>0</v>
      </c>
    </row>
    <row r="47" spans="2:15" x14ac:dyDescent="0.25">
      <c r="B47" s="28">
        <v>45</v>
      </c>
      <c r="C47" s="29" t="s">
        <v>77</v>
      </c>
      <c r="D47" s="29"/>
      <c r="E47" s="29"/>
      <c r="F47" s="29"/>
      <c r="G47" s="29"/>
      <c r="H47" s="29"/>
      <c r="I47" s="29"/>
      <c r="K47">
        <f t="shared" si="0"/>
        <v>0</v>
      </c>
      <c r="L47">
        <f t="shared" si="1"/>
        <v>0</v>
      </c>
      <c r="M47">
        <f t="shared" si="2"/>
        <v>0</v>
      </c>
      <c r="N47">
        <f t="shared" si="3"/>
        <v>0</v>
      </c>
      <c r="O47" s="35">
        <f t="shared" si="4"/>
        <v>0</v>
      </c>
    </row>
    <row r="48" spans="2:15" x14ac:dyDescent="0.25">
      <c r="B48" s="28">
        <v>46</v>
      </c>
      <c r="C48" s="29" t="s">
        <v>78</v>
      </c>
      <c r="D48" s="29"/>
      <c r="E48" s="29"/>
      <c r="F48" s="29"/>
      <c r="G48" s="29"/>
      <c r="H48" s="29"/>
      <c r="I48" s="29"/>
      <c r="K48">
        <f t="shared" si="0"/>
        <v>0</v>
      </c>
      <c r="L48">
        <f t="shared" si="1"/>
        <v>0</v>
      </c>
      <c r="M48">
        <f t="shared" si="2"/>
        <v>0</v>
      </c>
      <c r="N48">
        <f t="shared" si="3"/>
        <v>0</v>
      </c>
      <c r="O48" s="35">
        <f t="shared" si="4"/>
        <v>0</v>
      </c>
    </row>
    <row r="49" spans="2:15" x14ac:dyDescent="0.25">
      <c r="B49" s="28">
        <v>47</v>
      </c>
      <c r="C49" s="29" t="s">
        <v>79</v>
      </c>
      <c r="D49" s="29"/>
      <c r="E49" s="29"/>
      <c r="F49" s="29"/>
      <c r="G49" s="29"/>
      <c r="H49" s="29"/>
      <c r="I49" s="29"/>
      <c r="K49">
        <f t="shared" si="0"/>
        <v>0</v>
      </c>
      <c r="L49">
        <f t="shared" si="1"/>
        <v>0</v>
      </c>
      <c r="M49">
        <f t="shared" si="2"/>
        <v>0</v>
      </c>
      <c r="N49">
        <f t="shared" si="3"/>
        <v>0</v>
      </c>
      <c r="O49" s="35">
        <f t="shared" si="4"/>
        <v>0</v>
      </c>
    </row>
    <row r="50" spans="2:15" x14ac:dyDescent="0.25">
      <c r="B50" s="28">
        <v>48</v>
      </c>
      <c r="C50" s="29" t="s">
        <v>80</v>
      </c>
      <c r="D50" s="29"/>
      <c r="E50" s="29"/>
      <c r="F50" s="29"/>
      <c r="G50" s="29"/>
      <c r="H50" s="29"/>
      <c r="I50" s="29"/>
      <c r="K50">
        <f t="shared" si="0"/>
        <v>0</v>
      </c>
      <c r="L50">
        <f t="shared" si="1"/>
        <v>0</v>
      </c>
      <c r="M50">
        <f t="shared" si="2"/>
        <v>0</v>
      </c>
      <c r="N50">
        <f t="shared" si="3"/>
        <v>0</v>
      </c>
      <c r="O50" s="35">
        <f t="shared" si="4"/>
        <v>0</v>
      </c>
    </row>
    <row r="51" spans="2:15" x14ac:dyDescent="0.25">
      <c r="B51" s="28">
        <v>49</v>
      </c>
      <c r="C51" s="29" t="s">
        <v>81</v>
      </c>
      <c r="D51" s="29"/>
      <c r="E51" s="29"/>
      <c r="F51" s="29"/>
      <c r="G51" s="29"/>
      <c r="H51" s="29"/>
      <c r="I51" s="29"/>
      <c r="K51">
        <f t="shared" si="0"/>
        <v>0</v>
      </c>
      <c r="L51">
        <f t="shared" si="1"/>
        <v>0</v>
      </c>
      <c r="M51">
        <f t="shared" si="2"/>
        <v>0</v>
      </c>
      <c r="N51">
        <f t="shared" si="3"/>
        <v>0</v>
      </c>
      <c r="O51" s="35">
        <f t="shared" si="4"/>
        <v>0</v>
      </c>
    </row>
    <row r="52" spans="2:15" x14ac:dyDescent="0.25">
      <c r="B52" s="28">
        <v>50</v>
      </c>
      <c r="C52" s="29" t="s">
        <v>82</v>
      </c>
      <c r="D52" s="29"/>
      <c r="E52" s="29"/>
      <c r="F52" s="29"/>
      <c r="G52" s="29"/>
      <c r="H52" s="29"/>
      <c r="I52" s="29"/>
      <c r="K52">
        <f t="shared" si="0"/>
        <v>0</v>
      </c>
      <c r="L52">
        <f t="shared" si="1"/>
        <v>0</v>
      </c>
      <c r="M52">
        <f t="shared" si="2"/>
        <v>0</v>
      </c>
      <c r="N52">
        <f t="shared" si="3"/>
        <v>0</v>
      </c>
      <c r="O52" s="35">
        <f t="shared" si="4"/>
        <v>0</v>
      </c>
    </row>
    <row r="53" spans="2:15" x14ac:dyDescent="0.25">
      <c r="B53" s="28">
        <v>51</v>
      </c>
      <c r="C53" s="29" t="s">
        <v>83</v>
      </c>
      <c r="D53" s="29"/>
      <c r="E53" s="29"/>
      <c r="F53" s="29"/>
      <c r="G53" s="29"/>
      <c r="H53" s="29"/>
      <c r="I53" s="29"/>
      <c r="K53">
        <f t="shared" si="0"/>
        <v>0</v>
      </c>
      <c r="L53">
        <f t="shared" si="1"/>
        <v>0</v>
      </c>
      <c r="M53">
        <f t="shared" si="2"/>
        <v>0</v>
      </c>
      <c r="N53">
        <f t="shared" si="3"/>
        <v>0</v>
      </c>
      <c r="O53" s="35">
        <f t="shared" si="4"/>
        <v>0</v>
      </c>
    </row>
    <row r="54" spans="2:15" x14ac:dyDescent="0.25">
      <c r="B54" s="28">
        <v>52</v>
      </c>
      <c r="C54" s="29" t="s">
        <v>84</v>
      </c>
      <c r="D54" s="29"/>
      <c r="E54" s="29"/>
      <c r="F54" s="29"/>
      <c r="G54" s="29"/>
      <c r="H54" s="29"/>
      <c r="I54" s="29"/>
      <c r="K54">
        <f t="shared" si="0"/>
        <v>0</v>
      </c>
      <c r="L54">
        <f t="shared" si="1"/>
        <v>0</v>
      </c>
      <c r="M54">
        <f t="shared" si="2"/>
        <v>0</v>
      </c>
      <c r="N54">
        <f t="shared" si="3"/>
        <v>0</v>
      </c>
      <c r="O54" s="35">
        <f t="shared" si="4"/>
        <v>0</v>
      </c>
    </row>
    <row r="55" spans="2:15" x14ac:dyDescent="0.25">
      <c r="B55" s="28">
        <v>53</v>
      </c>
      <c r="C55" s="29" t="s">
        <v>85</v>
      </c>
      <c r="D55" s="29"/>
      <c r="E55" s="29"/>
      <c r="F55" s="29"/>
      <c r="G55" s="29"/>
      <c r="H55" s="29"/>
      <c r="I55" s="29"/>
      <c r="K55">
        <f t="shared" si="0"/>
        <v>0</v>
      </c>
      <c r="L55">
        <f t="shared" si="1"/>
        <v>0</v>
      </c>
      <c r="M55">
        <f t="shared" si="2"/>
        <v>0</v>
      </c>
      <c r="N55">
        <f t="shared" si="3"/>
        <v>0</v>
      </c>
      <c r="O55" s="35">
        <f t="shared" si="4"/>
        <v>0</v>
      </c>
    </row>
    <row r="56" spans="2:15" x14ac:dyDescent="0.25">
      <c r="B56" s="28">
        <v>54</v>
      </c>
      <c r="C56" s="29" t="s">
        <v>86</v>
      </c>
      <c r="D56" s="29"/>
      <c r="E56" s="29"/>
      <c r="F56" s="29"/>
      <c r="G56" s="29"/>
      <c r="H56" s="29"/>
      <c r="I56" s="29"/>
      <c r="K56">
        <f t="shared" si="0"/>
        <v>0</v>
      </c>
      <c r="L56">
        <f t="shared" si="1"/>
        <v>0</v>
      </c>
      <c r="M56">
        <f t="shared" si="2"/>
        <v>0</v>
      </c>
      <c r="N56">
        <f t="shared" si="3"/>
        <v>0</v>
      </c>
      <c r="O56" s="35">
        <f t="shared" si="4"/>
        <v>0</v>
      </c>
    </row>
    <row r="57" spans="2:15" x14ac:dyDescent="0.25">
      <c r="B57" s="28">
        <v>55</v>
      </c>
      <c r="C57" s="29" t="s">
        <v>87</v>
      </c>
      <c r="D57" s="29"/>
      <c r="E57" s="29"/>
      <c r="F57" s="29"/>
      <c r="G57" s="28">
        <v>3</v>
      </c>
      <c r="H57" s="29"/>
      <c r="I57" s="29"/>
      <c r="K57">
        <f t="shared" si="0"/>
        <v>0</v>
      </c>
      <c r="L57">
        <f t="shared" si="1"/>
        <v>0</v>
      </c>
      <c r="M57">
        <f t="shared" si="2"/>
        <v>60</v>
      </c>
      <c r="N57">
        <f t="shared" si="3"/>
        <v>0</v>
      </c>
      <c r="O57" s="35">
        <f t="shared" si="4"/>
        <v>60</v>
      </c>
    </row>
    <row r="58" spans="2:15" x14ac:dyDescent="0.25">
      <c r="B58" s="28">
        <v>56</v>
      </c>
      <c r="C58" s="29" t="s">
        <v>88</v>
      </c>
      <c r="D58" s="29"/>
      <c r="E58" s="29"/>
      <c r="F58" s="29"/>
      <c r="G58" s="29"/>
      <c r="H58" s="29"/>
      <c r="I58" s="29"/>
      <c r="K58">
        <f t="shared" si="0"/>
        <v>0</v>
      </c>
      <c r="L58">
        <f t="shared" si="1"/>
        <v>0</v>
      </c>
      <c r="M58">
        <f t="shared" si="2"/>
        <v>0</v>
      </c>
      <c r="N58">
        <f t="shared" si="3"/>
        <v>0</v>
      </c>
      <c r="O58" s="35">
        <f t="shared" si="4"/>
        <v>0</v>
      </c>
    </row>
    <row r="59" spans="2:15" x14ac:dyDescent="0.25">
      <c r="B59" s="28">
        <v>57</v>
      </c>
      <c r="C59" s="29" t="s">
        <v>89</v>
      </c>
      <c r="D59" s="29"/>
      <c r="E59" s="29"/>
      <c r="F59" s="29"/>
      <c r="G59" s="29"/>
      <c r="H59" s="29"/>
      <c r="I59" s="29"/>
      <c r="K59">
        <f t="shared" si="0"/>
        <v>0</v>
      </c>
      <c r="L59">
        <f t="shared" si="1"/>
        <v>0</v>
      </c>
      <c r="M59">
        <f t="shared" si="2"/>
        <v>0</v>
      </c>
      <c r="N59">
        <f t="shared" si="3"/>
        <v>0</v>
      </c>
      <c r="O59" s="35">
        <f t="shared" si="4"/>
        <v>0</v>
      </c>
    </row>
    <row r="60" spans="2:15" x14ac:dyDescent="0.25">
      <c r="B60" s="28">
        <v>58</v>
      </c>
      <c r="C60" s="29" t="s">
        <v>90</v>
      </c>
      <c r="D60" s="29"/>
      <c r="E60" s="29"/>
      <c r="F60" s="29"/>
      <c r="G60" s="29"/>
      <c r="H60" s="29"/>
      <c r="I60" s="29"/>
      <c r="K60">
        <f t="shared" si="0"/>
        <v>0</v>
      </c>
      <c r="L60">
        <f t="shared" si="1"/>
        <v>0</v>
      </c>
      <c r="M60">
        <f t="shared" si="2"/>
        <v>0</v>
      </c>
      <c r="N60">
        <f t="shared" si="3"/>
        <v>0</v>
      </c>
      <c r="O60" s="35">
        <f t="shared" si="4"/>
        <v>0</v>
      </c>
    </row>
    <row r="61" spans="2:15" x14ac:dyDescent="0.25">
      <c r="B61" s="28">
        <v>59</v>
      </c>
      <c r="C61" s="29" t="s">
        <v>91</v>
      </c>
      <c r="D61" s="29"/>
      <c r="E61" s="29"/>
      <c r="F61" s="29"/>
      <c r="G61" s="29"/>
      <c r="H61" s="29"/>
      <c r="I61" s="29"/>
      <c r="K61">
        <f t="shared" si="0"/>
        <v>0</v>
      </c>
      <c r="L61">
        <f t="shared" si="1"/>
        <v>0</v>
      </c>
      <c r="M61">
        <f t="shared" si="2"/>
        <v>0</v>
      </c>
      <c r="N61">
        <f t="shared" si="3"/>
        <v>0</v>
      </c>
      <c r="O61" s="35">
        <f t="shared" si="4"/>
        <v>0</v>
      </c>
    </row>
    <row r="62" spans="2:15" x14ac:dyDescent="0.25">
      <c r="B62" s="28">
        <v>60</v>
      </c>
      <c r="C62" s="29" t="s">
        <v>92</v>
      </c>
      <c r="D62" s="29"/>
      <c r="E62" s="29"/>
      <c r="F62" s="29"/>
      <c r="G62" s="29"/>
      <c r="H62" s="29"/>
      <c r="I62" s="29"/>
      <c r="K62">
        <f t="shared" si="0"/>
        <v>0</v>
      </c>
      <c r="L62">
        <f t="shared" si="1"/>
        <v>0</v>
      </c>
      <c r="M62">
        <f t="shared" si="2"/>
        <v>0</v>
      </c>
      <c r="N62">
        <f t="shared" si="3"/>
        <v>0</v>
      </c>
      <c r="O62" s="35">
        <f t="shared" si="4"/>
        <v>0</v>
      </c>
    </row>
    <row r="63" spans="2:15" x14ac:dyDescent="0.25">
      <c r="B63" s="27"/>
      <c r="C63" s="27"/>
      <c r="D63" s="27"/>
      <c r="E63" s="27"/>
      <c r="F63" s="27"/>
      <c r="G63" s="27"/>
      <c r="H63" s="27"/>
      <c r="I63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O7" sqref="O7"/>
    </sheetView>
  </sheetViews>
  <sheetFormatPr defaultRowHeight="15" outlineLevelCol="1" x14ac:dyDescent="0.25"/>
  <cols>
    <col min="2" max="2" width="21" customWidth="1"/>
    <col min="3" max="3" width="0" hidden="1" customWidth="1" outlineLevel="1"/>
    <col min="4" max="4" width="9.140625" collapsed="1"/>
    <col min="5" max="5" width="0" hidden="1" customWidth="1" outlineLevel="1"/>
    <col min="6" max="6" width="9.140625" collapsed="1"/>
    <col min="8" max="8" width="0" hidden="1" customWidth="1" outlineLevel="1"/>
    <col min="9" max="9" width="9.140625" collapsed="1"/>
    <col min="10" max="10" width="12.7109375" customWidth="1"/>
    <col min="11" max="11" width="10.42578125" customWidth="1"/>
    <col min="12" max="12" width="9.7109375" customWidth="1"/>
    <col min="13" max="13" width="9.140625" style="35"/>
  </cols>
  <sheetData>
    <row r="1" spans="1:13" x14ac:dyDescent="0.25">
      <c r="J1">
        <v>10</v>
      </c>
      <c r="K1">
        <v>20</v>
      </c>
      <c r="L1">
        <v>50</v>
      </c>
    </row>
    <row r="2" spans="1:13" x14ac:dyDescent="0.25">
      <c r="A2" s="33" t="s">
        <v>30</v>
      </c>
      <c r="B2" s="33" t="s">
        <v>31</v>
      </c>
      <c r="C2" s="33" t="s">
        <v>32</v>
      </c>
      <c r="D2" s="33" t="s">
        <v>33</v>
      </c>
      <c r="E2" s="33" t="s">
        <v>34</v>
      </c>
      <c r="F2" s="33" t="s">
        <v>28</v>
      </c>
      <c r="G2" s="33" t="s">
        <v>29</v>
      </c>
      <c r="H2" s="33" t="s">
        <v>35</v>
      </c>
      <c r="J2" s="34" t="str">
        <f>D2</f>
        <v>Еф визиты</v>
      </c>
      <c r="K2" s="34" t="str">
        <f>F2</f>
        <v>Задания</v>
      </c>
      <c r="L2" s="34" t="str">
        <f>G2</f>
        <v>Заказы</v>
      </c>
      <c r="M2" s="36" t="s">
        <v>93</v>
      </c>
    </row>
    <row r="3" spans="1:13" x14ac:dyDescent="0.25">
      <c r="A3" s="31">
        <v>1</v>
      </c>
      <c r="B3" s="32" t="s">
        <v>13</v>
      </c>
      <c r="C3" s="31">
        <v>521</v>
      </c>
      <c r="D3" s="31">
        <v>91</v>
      </c>
      <c r="E3" s="31">
        <v>388</v>
      </c>
      <c r="F3" s="31">
        <v>2</v>
      </c>
      <c r="G3" s="31">
        <v>1</v>
      </c>
      <c r="H3" s="31">
        <v>172</v>
      </c>
      <c r="J3">
        <f>D3*$J$1</f>
        <v>910</v>
      </c>
      <c r="K3">
        <f>F3*$K$1</f>
        <v>40</v>
      </c>
      <c r="L3">
        <f>G3*$L$1</f>
        <v>50</v>
      </c>
      <c r="M3" s="35">
        <f>SUM(J3:L3)</f>
        <v>1000</v>
      </c>
    </row>
    <row r="4" spans="1:13" x14ac:dyDescent="0.25">
      <c r="A4" s="31">
        <v>2</v>
      </c>
      <c r="B4" s="32" t="s">
        <v>44</v>
      </c>
      <c r="C4" s="31">
        <v>435</v>
      </c>
      <c r="D4" s="31">
        <v>121</v>
      </c>
      <c r="E4" s="31">
        <v>398</v>
      </c>
      <c r="F4" s="31">
        <v>2</v>
      </c>
      <c r="G4" s="32"/>
      <c r="H4" s="31">
        <v>37</v>
      </c>
      <c r="J4">
        <f t="shared" ref="J4:J62" si="0">D4*$J$1</f>
        <v>1210</v>
      </c>
      <c r="K4">
        <f t="shared" ref="K4:K62" si="1">F4*$K$1</f>
        <v>40</v>
      </c>
      <c r="L4">
        <f t="shared" ref="L4:L62" si="2">G4*$L$1</f>
        <v>0</v>
      </c>
      <c r="M4" s="35">
        <f t="shared" ref="M4:M62" si="3">SUM(J4:L4)</f>
        <v>1250</v>
      </c>
    </row>
    <row r="5" spans="1:13" x14ac:dyDescent="0.25">
      <c r="A5" s="31">
        <v>3</v>
      </c>
      <c r="B5" s="32" t="s">
        <v>38</v>
      </c>
      <c r="C5" s="31">
        <v>430</v>
      </c>
      <c r="D5" s="31">
        <v>99</v>
      </c>
      <c r="E5" s="31">
        <v>336</v>
      </c>
      <c r="F5" s="31">
        <v>10</v>
      </c>
      <c r="G5" s="31">
        <v>3</v>
      </c>
      <c r="H5" s="31">
        <v>106</v>
      </c>
      <c r="J5">
        <f t="shared" si="0"/>
        <v>990</v>
      </c>
      <c r="K5">
        <f t="shared" si="1"/>
        <v>200</v>
      </c>
      <c r="L5">
        <f t="shared" si="2"/>
        <v>150</v>
      </c>
      <c r="M5" s="35">
        <f t="shared" si="3"/>
        <v>1340</v>
      </c>
    </row>
    <row r="6" spans="1:13" x14ac:dyDescent="0.25">
      <c r="A6" s="31">
        <v>4</v>
      </c>
      <c r="B6" s="32" t="s">
        <v>37</v>
      </c>
      <c r="C6" s="31">
        <v>377</v>
      </c>
      <c r="D6" s="31">
        <v>155</v>
      </c>
      <c r="E6" s="31">
        <v>148</v>
      </c>
      <c r="F6" s="31">
        <v>28</v>
      </c>
      <c r="G6" s="31">
        <v>22</v>
      </c>
      <c r="H6" s="31">
        <v>96</v>
      </c>
      <c r="J6">
        <f t="shared" si="0"/>
        <v>1550</v>
      </c>
      <c r="K6">
        <f t="shared" si="1"/>
        <v>560</v>
      </c>
      <c r="L6">
        <f t="shared" si="2"/>
        <v>1100</v>
      </c>
      <c r="M6" s="35">
        <f t="shared" si="3"/>
        <v>3210</v>
      </c>
    </row>
    <row r="7" spans="1:13" x14ac:dyDescent="0.25">
      <c r="A7" s="31">
        <v>5</v>
      </c>
      <c r="B7" s="32" t="s">
        <v>36</v>
      </c>
      <c r="C7" s="31">
        <v>370</v>
      </c>
      <c r="D7" s="31">
        <v>43</v>
      </c>
      <c r="E7" s="31">
        <v>210</v>
      </c>
      <c r="F7" s="32"/>
      <c r="G7" s="31">
        <v>2</v>
      </c>
      <c r="H7" s="31">
        <v>182</v>
      </c>
      <c r="J7">
        <f t="shared" si="0"/>
        <v>430</v>
      </c>
      <c r="K7">
        <f t="shared" si="1"/>
        <v>0</v>
      </c>
      <c r="L7">
        <f t="shared" si="2"/>
        <v>100</v>
      </c>
      <c r="M7" s="35">
        <f t="shared" si="3"/>
        <v>530</v>
      </c>
    </row>
    <row r="8" spans="1:13" x14ac:dyDescent="0.25">
      <c r="A8" s="31">
        <v>6</v>
      </c>
      <c r="B8" s="32" t="s">
        <v>12</v>
      </c>
      <c r="C8" s="31">
        <v>330</v>
      </c>
      <c r="D8" s="31">
        <v>86</v>
      </c>
      <c r="E8" s="31">
        <v>174</v>
      </c>
      <c r="F8" s="31">
        <v>22</v>
      </c>
      <c r="G8" s="31">
        <v>8</v>
      </c>
      <c r="H8" s="31">
        <v>69</v>
      </c>
      <c r="J8">
        <f t="shared" si="0"/>
        <v>860</v>
      </c>
      <c r="K8">
        <f t="shared" si="1"/>
        <v>440</v>
      </c>
      <c r="L8">
        <f t="shared" si="2"/>
        <v>400</v>
      </c>
      <c r="M8" s="35">
        <f t="shared" si="3"/>
        <v>1700</v>
      </c>
    </row>
    <row r="9" spans="1:13" x14ac:dyDescent="0.25">
      <c r="A9" s="31">
        <v>7</v>
      </c>
      <c r="B9" s="32" t="s">
        <v>40</v>
      </c>
      <c r="C9" s="31">
        <v>306</v>
      </c>
      <c r="D9" s="31">
        <v>98</v>
      </c>
      <c r="E9" s="31">
        <v>268</v>
      </c>
      <c r="F9" s="31">
        <v>4</v>
      </c>
      <c r="G9" s="31">
        <v>1</v>
      </c>
      <c r="H9" s="31">
        <v>71</v>
      </c>
      <c r="J9">
        <f t="shared" si="0"/>
        <v>980</v>
      </c>
      <c r="K9">
        <f t="shared" si="1"/>
        <v>80</v>
      </c>
      <c r="L9">
        <f t="shared" si="2"/>
        <v>50</v>
      </c>
      <c r="M9" s="35">
        <f t="shared" si="3"/>
        <v>1110</v>
      </c>
    </row>
    <row r="10" spans="1:13" x14ac:dyDescent="0.25">
      <c r="A10" s="31">
        <v>8</v>
      </c>
      <c r="B10" s="32" t="s">
        <v>47</v>
      </c>
      <c r="C10" s="31">
        <v>289</v>
      </c>
      <c r="D10" s="31">
        <v>105</v>
      </c>
      <c r="E10" s="31">
        <v>119</v>
      </c>
      <c r="F10" s="31">
        <v>4</v>
      </c>
      <c r="G10" s="31">
        <v>2</v>
      </c>
      <c r="H10" s="31">
        <v>47</v>
      </c>
      <c r="J10">
        <f t="shared" si="0"/>
        <v>1050</v>
      </c>
      <c r="K10">
        <f t="shared" si="1"/>
        <v>80</v>
      </c>
      <c r="L10">
        <f t="shared" si="2"/>
        <v>100</v>
      </c>
      <c r="M10" s="35">
        <f t="shared" si="3"/>
        <v>1230</v>
      </c>
    </row>
    <row r="11" spans="1:13" x14ac:dyDescent="0.25">
      <c r="A11" s="31">
        <v>9</v>
      </c>
      <c r="B11" s="32" t="s">
        <v>39</v>
      </c>
      <c r="C11" s="31">
        <v>285</v>
      </c>
      <c r="D11" s="31">
        <v>101</v>
      </c>
      <c r="E11" s="31">
        <v>130</v>
      </c>
      <c r="F11" s="31">
        <v>20</v>
      </c>
      <c r="G11" s="31">
        <v>17</v>
      </c>
      <c r="H11" s="31">
        <v>147</v>
      </c>
      <c r="J11">
        <f t="shared" si="0"/>
        <v>1010</v>
      </c>
      <c r="K11">
        <f t="shared" si="1"/>
        <v>400</v>
      </c>
      <c r="L11">
        <f t="shared" si="2"/>
        <v>850</v>
      </c>
      <c r="M11" s="35">
        <f t="shared" si="3"/>
        <v>2260</v>
      </c>
    </row>
    <row r="12" spans="1:13" x14ac:dyDescent="0.25">
      <c r="A12" s="31">
        <v>10</v>
      </c>
      <c r="B12" s="32" t="s">
        <v>43</v>
      </c>
      <c r="C12" s="31">
        <v>268</v>
      </c>
      <c r="D12" s="31">
        <v>151</v>
      </c>
      <c r="E12" s="31">
        <v>185</v>
      </c>
      <c r="F12" s="31">
        <v>1</v>
      </c>
      <c r="G12" s="31">
        <v>2</v>
      </c>
      <c r="H12" s="31">
        <v>38</v>
      </c>
      <c r="J12">
        <f t="shared" si="0"/>
        <v>1510</v>
      </c>
      <c r="K12">
        <f t="shared" si="1"/>
        <v>20</v>
      </c>
      <c r="L12">
        <f t="shared" si="2"/>
        <v>100</v>
      </c>
      <c r="M12" s="35">
        <f t="shared" si="3"/>
        <v>1630</v>
      </c>
    </row>
    <row r="13" spans="1:13" x14ac:dyDescent="0.25">
      <c r="A13" s="31">
        <v>11</v>
      </c>
      <c r="B13" s="32" t="s">
        <v>41</v>
      </c>
      <c r="C13" s="31">
        <v>265</v>
      </c>
      <c r="D13" s="31">
        <v>81</v>
      </c>
      <c r="E13" s="31">
        <v>156</v>
      </c>
      <c r="F13" s="31">
        <v>10</v>
      </c>
      <c r="G13" s="31">
        <v>4</v>
      </c>
      <c r="H13" s="31">
        <v>142</v>
      </c>
      <c r="J13">
        <f t="shared" si="0"/>
        <v>810</v>
      </c>
      <c r="K13">
        <f t="shared" si="1"/>
        <v>200</v>
      </c>
      <c r="L13">
        <f t="shared" si="2"/>
        <v>200</v>
      </c>
      <c r="M13" s="35">
        <f t="shared" si="3"/>
        <v>1210</v>
      </c>
    </row>
    <row r="14" spans="1:13" x14ac:dyDescent="0.25">
      <c r="A14" s="31">
        <v>12</v>
      </c>
      <c r="B14" s="32" t="s">
        <v>45</v>
      </c>
      <c r="C14" s="31">
        <v>223</v>
      </c>
      <c r="D14" s="31">
        <v>10</v>
      </c>
      <c r="E14" s="31">
        <v>208</v>
      </c>
      <c r="F14" s="31">
        <v>8</v>
      </c>
      <c r="G14" s="31">
        <v>1</v>
      </c>
      <c r="H14" s="31">
        <v>198</v>
      </c>
      <c r="J14">
        <f t="shared" si="0"/>
        <v>100</v>
      </c>
      <c r="K14">
        <f t="shared" si="1"/>
        <v>160</v>
      </c>
      <c r="L14">
        <f t="shared" si="2"/>
        <v>50</v>
      </c>
      <c r="M14" s="35">
        <f t="shared" si="3"/>
        <v>310</v>
      </c>
    </row>
    <row r="15" spans="1:13" x14ac:dyDescent="0.25">
      <c r="A15" s="31">
        <v>13</v>
      </c>
      <c r="B15" s="32" t="s">
        <v>42</v>
      </c>
      <c r="C15" s="31">
        <v>214</v>
      </c>
      <c r="D15" s="31">
        <v>60</v>
      </c>
      <c r="E15" s="31">
        <v>62</v>
      </c>
      <c r="F15" s="31">
        <v>11</v>
      </c>
      <c r="G15" s="31">
        <v>10</v>
      </c>
      <c r="H15" s="31">
        <v>141</v>
      </c>
      <c r="J15">
        <f t="shared" si="0"/>
        <v>600</v>
      </c>
      <c r="K15">
        <f t="shared" si="1"/>
        <v>220</v>
      </c>
      <c r="L15">
        <f t="shared" si="2"/>
        <v>500</v>
      </c>
      <c r="M15" s="35">
        <f t="shared" si="3"/>
        <v>1320</v>
      </c>
    </row>
    <row r="16" spans="1:13" x14ac:dyDescent="0.25">
      <c r="A16" s="31">
        <v>14</v>
      </c>
      <c r="B16" s="32" t="s">
        <v>46</v>
      </c>
      <c r="C16" s="31">
        <v>193</v>
      </c>
      <c r="D16" s="31">
        <v>61</v>
      </c>
      <c r="E16" s="31">
        <v>63</v>
      </c>
      <c r="F16" s="31">
        <v>22</v>
      </c>
      <c r="G16" s="31">
        <v>13</v>
      </c>
      <c r="H16" s="31">
        <v>4</v>
      </c>
      <c r="J16">
        <f t="shared" si="0"/>
        <v>610</v>
      </c>
      <c r="K16">
        <f t="shared" si="1"/>
        <v>440</v>
      </c>
      <c r="L16">
        <f t="shared" si="2"/>
        <v>650</v>
      </c>
      <c r="M16" s="35">
        <f t="shared" si="3"/>
        <v>1700</v>
      </c>
    </row>
    <row r="17" spans="1:13" x14ac:dyDescent="0.25">
      <c r="A17" s="31">
        <v>15</v>
      </c>
      <c r="B17" s="32" t="s">
        <v>49</v>
      </c>
      <c r="C17" s="31">
        <v>178</v>
      </c>
      <c r="D17" s="31">
        <v>21</v>
      </c>
      <c r="E17" s="31">
        <v>108</v>
      </c>
      <c r="F17" s="31">
        <v>1</v>
      </c>
      <c r="G17" s="32"/>
      <c r="H17" s="31">
        <v>2</v>
      </c>
      <c r="J17">
        <f t="shared" si="0"/>
        <v>210</v>
      </c>
      <c r="K17">
        <f t="shared" si="1"/>
        <v>20</v>
      </c>
      <c r="L17">
        <f t="shared" si="2"/>
        <v>0</v>
      </c>
      <c r="M17" s="35">
        <f t="shared" si="3"/>
        <v>230</v>
      </c>
    </row>
    <row r="18" spans="1:13" x14ac:dyDescent="0.25">
      <c r="A18" s="31">
        <v>16</v>
      </c>
      <c r="B18" s="32" t="s">
        <v>18</v>
      </c>
      <c r="C18" s="31">
        <v>143</v>
      </c>
      <c r="D18" s="31">
        <v>65</v>
      </c>
      <c r="E18" s="31">
        <v>104</v>
      </c>
      <c r="F18" s="31">
        <v>8</v>
      </c>
      <c r="G18" s="31">
        <v>4</v>
      </c>
      <c r="H18" s="31">
        <v>55</v>
      </c>
      <c r="J18">
        <f t="shared" si="0"/>
        <v>650</v>
      </c>
      <c r="K18">
        <f t="shared" si="1"/>
        <v>160</v>
      </c>
      <c r="L18">
        <f t="shared" si="2"/>
        <v>200</v>
      </c>
      <c r="M18" s="35">
        <f t="shared" si="3"/>
        <v>1010</v>
      </c>
    </row>
    <row r="19" spans="1:13" x14ac:dyDescent="0.25">
      <c r="A19" s="31">
        <v>17</v>
      </c>
      <c r="B19" s="32" t="s">
        <v>50</v>
      </c>
      <c r="C19" s="31">
        <v>128</v>
      </c>
      <c r="D19" s="31">
        <v>49</v>
      </c>
      <c r="E19" s="31">
        <v>60</v>
      </c>
      <c r="F19" s="32"/>
      <c r="G19" s="32"/>
      <c r="H19" s="31">
        <v>69</v>
      </c>
      <c r="J19">
        <f t="shared" si="0"/>
        <v>490</v>
      </c>
      <c r="K19">
        <f t="shared" si="1"/>
        <v>0</v>
      </c>
      <c r="L19">
        <f t="shared" si="2"/>
        <v>0</v>
      </c>
      <c r="M19" s="35">
        <f t="shared" si="3"/>
        <v>490</v>
      </c>
    </row>
    <row r="20" spans="1:13" x14ac:dyDescent="0.25">
      <c r="A20" s="31">
        <v>18</v>
      </c>
      <c r="B20" s="32" t="s">
        <v>51</v>
      </c>
      <c r="C20" s="31">
        <v>107</v>
      </c>
      <c r="D20" s="31">
        <v>20</v>
      </c>
      <c r="E20" s="31">
        <v>22</v>
      </c>
      <c r="F20" s="31">
        <v>3</v>
      </c>
      <c r="G20" s="32"/>
      <c r="H20" s="31">
        <v>87</v>
      </c>
      <c r="J20">
        <f t="shared" si="0"/>
        <v>200</v>
      </c>
      <c r="K20">
        <f t="shared" si="1"/>
        <v>60</v>
      </c>
      <c r="L20">
        <f t="shared" si="2"/>
        <v>0</v>
      </c>
      <c r="M20" s="35">
        <f t="shared" si="3"/>
        <v>260</v>
      </c>
    </row>
    <row r="21" spans="1:13" x14ac:dyDescent="0.25">
      <c r="A21" s="31">
        <v>19</v>
      </c>
      <c r="B21" s="32" t="s">
        <v>53</v>
      </c>
      <c r="C21" s="31">
        <v>2</v>
      </c>
      <c r="D21" s="31">
        <v>2</v>
      </c>
      <c r="E21" s="32"/>
      <c r="F21" s="31">
        <v>1</v>
      </c>
      <c r="G21" s="32"/>
      <c r="H21" s="32"/>
      <c r="J21">
        <f t="shared" si="0"/>
        <v>20</v>
      </c>
      <c r="K21">
        <f t="shared" si="1"/>
        <v>20</v>
      </c>
      <c r="L21">
        <f t="shared" si="2"/>
        <v>0</v>
      </c>
      <c r="M21" s="35">
        <f t="shared" si="3"/>
        <v>40</v>
      </c>
    </row>
    <row r="22" spans="1:13" x14ac:dyDescent="0.25">
      <c r="A22" s="31">
        <v>20</v>
      </c>
      <c r="B22" s="32" t="s">
        <v>57</v>
      </c>
      <c r="C22" s="32"/>
      <c r="D22" s="32"/>
      <c r="E22" s="32"/>
      <c r="F22" s="32"/>
      <c r="G22" s="32"/>
      <c r="H22" s="32"/>
      <c r="J22">
        <f t="shared" si="0"/>
        <v>0</v>
      </c>
      <c r="K22">
        <f t="shared" si="1"/>
        <v>0</v>
      </c>
      <c r="L22">
        <f t="shared" si="2"/>
        <v>0</v>
      </c>
      <c r="M22" s="35">
        <f t="shared" si="3"/>
        <v>0</v>
      </c>
    </row>
    <row r="23" spans="1:13" x14ac:dyDescent="0.25">
      <c r="A23" s="31">
        <v>21</v>
      </c>
      <c r="B23" s="32" t="s">
        <v>56</v>
      </c>
      <c r="C23" s="32"/>
      <c r="D23" s="32"/>
      <c r="E23" s="32"/>
      <c r="F23" s="32"/>
      <c r="G23" s="32"/>
      <c r="H23" s="32"/>
      <c r="J23">
        <f t="shared" si="0"/>
        <v>0</v>
      </c>
      <c r="K23">
        <f t="shared" si="1"/>
        <v>0</v>
      </c>
      <c r="L23">
        <f t="shared" si="2"/>
        <v>0</v>
      </c>
      <c r="M23" s="35">
        <f t="shared" si="3"/>
        <v>0</v>
      </c>
    </row>
    <row r="24" spans="1:13" x14ac:dyDescent="0.25">
      <c r="A24" s="31">
        <v>22</v>
      </c>
      <c r="B24" s="32" t="s">
        <v>58</v>
      </c>
      <c r="C24" s="32"/>
      <c r="D24" s="32"/>
      <c r="E24" s="32"/>
      <c r="F24" s="32"/>
      <c r="G24" s="32"/>
      <c r="H24" s="32"/>
      <c r="J24">
        <f t="shared" si="0"/>
        <v>0</v>
      </c>
      <c r="K24">
        <f t="shared" si="1"/>
        <v>0</v>
      </c>
      <c r="L24">
        <f t="shared" si="2"/>
        <v>0</v>
      </c>
      <c r="M24" s="35">
        <f t="shared" si="3"/>
        <v>0</v>
      </c>
    </row>
    <row r="25" spans="1:13" x14ac:dyDescent="0.25">
      <c r="A25" s="31">
        <v>23</v>
      </c>
      <c r="B25" s="32" t="s">
        <v>54</v>
      </c>
      <c r="C25" s="32"/>
      <c r="D25" s="32"/>
      <c r="E25" s="32"/>
      <c r="F25" s="31">
        <v>1</v>
      </c>
      <c r="G25" s="32"/>
      <c r="H25" s="31">
        <v>1</v>
      </c>
      <c r="J25">
        <f t="shared" si="0"/>
        <v>0</v>
      </c>
      <c r="K25">
        <f t="shared" si="1"/>
        <v>20</v>
      </c>
      <c r="L25">
        <f t="shared" si="2"/>
        <v>0</v>
      </c>
      <c r="M25" s="35">
        <f t="shared" si="3"/>
        <v>20</v>
      </c>
    </row>
    <row r="26" spans="1:13" x14ac:dyDescent="0.25">
      <c r="A26" s="31">
        <v>24</v>
      </c>
      <c r="B26" s="32" t="s">
        <v>52</v>
      </c>
      <c r="C26" s="32"/>
      <c r="D26" s="32"/>
      <c r="E26" s="32"/>
      <c r="F26" s="32"/>
      <c r="G26" s="32"/>
      <c r="H26" s="32"/>
      <c r="J26">
        <f t="shared" si="0"/>
        <v>0</v>
      </c>
      <c r="K26">
        <f t="shared" si="1"/>
        <v>0</v>
      </c>
      <c r="L26">
        <f t="shared" si="2"/>
        <v>0</v>
      </c>
      <c r="M26" s="35">
        <f t="shared" si="3"/>
        <v>0</v>
      </c>
    </row>
    <row r="27" spans="1:13" x14ac:dyDescent="0.25">
      <c r="A27" s="31">
        <v>25</v>
      </c>
      <c r="B27" s="32" t="s">
        <v>59</v>
      </c>
      <c r="C27" s="32"/>
      <c r="D27" s="32"/>
      <c r="E27" s="32"/>
      <c r="F27" s="32"/>
      <c r="G27" s="32"/>
      <c r="H27" s="32"/>
      <c r="J27">
        <f t="shared" si="0"/>
        <v>0</v>
      </c>
      <c r="K27">
        <f t="shared" si="1"/>
        <v>0</v>
      </c>
      <c r="L27">
        <f t="shared" si="2"/>
        <v>0</v>
      </c>
      <c r="M27" s="35">
        <f t="shared" si="3"/>
        <v>0</v>
      </c>
    </row>
    <row r="28" spans="1:13" x14ac:dyDescent="0.25">
      <c r="A28" s="31">
        <v>26</v>
      </c>
      <c r="B28" s="32" t="s">
        <v>92</v>
      </c>
      <c r="C28" s="32"/>
      <c r="D28" s="32"/>
      <c r="E28" s="32"/>
      <c r="F28" s="32"/>
      <c r="G28" s="32"/>
      <c r="H28" s="32"/>
      <c r="J28">
        <f t="shared" si="0"/>
        <v>0</v>
      </c>
      <c r="K28">
        <f t="shared" si="1"/>
        <v>0</v>
      </c>
      <c r="L28">
        <f t="shared" si="2"/>
        <v>0</v>
      </c>
      <c r="M28" s="35">
        <f t="shared" si="3"/>
        <v>0</v>
      </c>
    </row>
    <row r="29" spans="1:13" x14ac:dyDescent="0.25">
      <c r="A29" s="31">
        <v>27</v>
      </c>
      <c r="B29" s="32" t="s">
        <v>60</v>
      </c>
      <c r="C29" s="32"/>
      <c r="D29" s="32"/>
      <c r="E29" s="32"/>
      <c r="F29" s="32"/>
      <c r="G29" s="32"/>
      <c r="H29" s="32"/>
      <c r="J29">
        <f t="shared" si="0"/>
        <v>0</v>
      </c>
      <c r="K29">
        <f t="shared" si="1"/>
        <v>0</v>
      </c>
      <c r="L29">
        <f t="shared" si="2"/>
        <v>0</v>
      </c>
      <c r="M29" s="35">
        <f t="shared" si="3"/>
        <v>0</v>
      </c>
    </row>
    <row r="30" spans="1:13" x14ac:dyDescent="0.25">
      <c r="A30" s="31">
        <v>28</v>
      </c>
      <c r="B30" s="32" t="s">
        <v>61</v>
      </c>
      <c r="C30" s="32"/>
      <c r="D30" s="32"/>
      <c r="E30" s="32"/>
      <c r="F30" s="32"/>
      <c r="G30" s="32"/>
      <c r="H30" s="32"/>
      <c r="J30">
        <f t="shared" si="0"/>
        <v>0</v>
      </c>
      <c r="K30">
        <f t="shared" si="1"/>
        <v>0</v>
      </c>
      <c r="L30">
        <f t="shared" si="2"/>
        <v>0</v>
      </c>
      <c r="M30" s="35">
        <f t="shared" si="3"/>
        <v>0</v>
      </c>
    </row>
    <row r="31" spans="1:13" x14ac:dyDescent="0.25">
      <c r="A31" s="31">
        <v>29</v>
      </c>
      <c r="B31" s="32" t="s">
        <v>62</v>
      </c>
      <c r="C31" s="32"/>
      <c r="D31" s="32"/>
      <c r="E31" s="32"/>
      <c r="F31" s="32"/>
      <c r="G31" s="32"/>
      <c r="H31" s="32"/>
      <c r="J31">
        <f t="shared" si="0"/>
        <v>0</v>
      </c>
      <c r="K31">
        <f t="shared" si="1"/>
        <v>0</v>
      </c>
      <c r="L31">
        <f t="shared" si="2"/>
        <v>0</v>
      </c>
      <c r="M31" s="35">
        <f t="shared" si="3"/>
        <v>0</v>
      </c>
    </row>
    <row r="32" spans="1:13" x14ac:dyDescent="0.25">
      <c r="A32" s="31">
        <v>30</v>
      </c>
      <c r="B32" s="32" t="s">
        <v>63</v>
      </c>
      <c r="C32" s="32"/>
      <c r="D32" s="32"/>
      <c r="E32" s="32"/>
      <c r="F32" s="32"/>
      <c r="G32" s="32"/>
      <c r="H32" s="32"/>
      <c r="J32">
        <f t="shared" si="0"/>
        <v>0</v>
      </c>
      <c r="K32">
        <f t="shared" si="1"/>
        <v>0</v>
      </c>
      <c r="L32">
        <f t="shared" si="2"/>
        <v>0</v>
      </c>
      <c r="M32" s="35">
        <f t="shared" si="3"/>
        <v>0</v>
      </c>
    </row>
    <row r="33" spans="1:13" x14ac:dyDescent="0.25">
      <c r="A33" s="31">
        <v>31</v>
      </c>
      <c r="B33" s="32" t="s">
        <v>64</v>
      </c>
      <c r="C33" s="32"/>
      <c r="D33" s="32"/>
      <c r="E33" s="32"/>
      <c r="F33" s="32"/>
      <c r="G33" s="32"/>
      <c r="H33" s="32"/>
      <c r="J33">
        <f t="shared" si="0"/>
        <v>0</v>
      </c>
      <c r="K33">
        <f t="shared" si="1"/>
        <v>0</v>
      </c>
      <c r="L33">
        <f t="shared" si="2"/>
        <v>0</v>
      </c>
      <c r="M33" s="35">
        <f t="shared" si="3"/>
        <v>0</v>
      </c>
    </row>
    <row r="34" spans="1:13" x14ac:dyDescent="0.25">
      <c r="A34" s="31">
        <v>32</v>
      </c>
      <c r="B34" s="32" t="s">
        <v>65</v>
      </c>
      <c r="C34" s="32"/>
      <c r="D34" s="32"/>
      <c r="E34" s="32"/>
      <c r="F34" s="32"/>
      <c r="G34" s="32"/>
      <c r="H34" s="32"/>
      <c r="J34">
        <f t="shared" si="0"/>
        <v>0</v>
      </c>
      <c r="K34">
        <f t="shared" si="1"/>
        <v>0</v>
      </c>
      <c r="L34">
        <f t="shared" si="2"/>
        <v>0</v>
      </c>
      <c r="M34" s="35">
        <f t="shared" si="3"/>
        <v>0</v>
      </c>
    </row>
    <row r="35" spans="1:13" x14ac:dyDescent="0.25">
      <c r="A35" s="31">
        <v>33</v>
      </c>
      <c r="B35" s="32" t="s">
        <v>66</v>
      </c>
      <c r="C35" s="32"/>
      <c r="D35" s="32"/>
      <c r="E35" s="32"/>
      <c r="F35" s="32"/>
      <c r="G35" s="32"/>
      <c r="H35" s="32"/>
      <c r="J35">
        <f t="shared" si="0"/>
        <v>0</v>
      </c>
      <c r="K35">
        <f t="shared" si="1"/>
        <v>0</v>
      </c>
      <c r="L35">
        <f t="shared" si="2"/>
        <v>0</v>
      </c>
      <c r="M35" s="35">
        <f t="shared" si="3"/>
        <v>0</v>
      </c>
    </row>
    <row r="36" spans="1:13" x14ac:dyDescent="0.25">
      <c r="A36" s="31">
        <v>34</v>
      </c>
      <c r="B36" s="32" t="s">
        <v>67</v>
      </c>
      <c r="C36" s="32"/>
      <c r="D36" s="32"/>
      <c r="E36" s="32"/>
      <c r="F36" s="32"/>
      <c r="G36" s="32"/>
      <c r="H36" s="32"/>
      <c r="J36">
        <f t="shared" si="0"/>
        <v>0</v>
      </c>
      <c r="K36">
        <f t="shared" si="1"/>
        <v>0</v>
      </c>
      <c r="L36">
        <f t="shared" si="2"/>
        <v>0</v>
      </c>
      <c r="M36" s="35">
        <f t="shared" si="3"/>
        <v>0</v>
      </c>
    </row>
    <row r="37" spans="1:13" x14ac:dyDescent="0.25">
      <c r="A37" s="31">
        <v>35</v>
      </c>
      <c r="B37" s="32" t="s">
        <v>68</v>
      </c>
      <c r="C37" s="32"/>
      <c r="D37" s="32"/>
      <c r="E37" s="32"/>
      <c r="F37" s="32"/>
      <c r="G37" s="32"/>
      <c r="H37" s="32"/>
      <c r="J37">
        <f t="shared" si="0"/>
        <v>0</v>
      </c>
      <c r="K37">
        <f t="shared" si="1"/>
        <v>0</v>
      </c>
      <c r="L37">
        <f t="shared" si="2"/>
        <v>0</v>
      </c>
      <c r="M37" s="35">
        <f t="shared" si="3"/>
        <v>0</v>
      </c>
    </row>
    <row r="38" spans="1:13" x14ac:dyDescent="0.25">
      <c r="A38" s="31">
        <v>36</v>
      </c>
      <c r="B38" s="32" t="s">
        <v>69</v>
      </c>
      <c r="C38" s="32"/>
      <c r="D38" s="32"/>
      <c r="E38" s="31">
        <v>1</v>
      </c>
      <c r="F38" s="32"/>
      <c r="G38" s="32"/>
      <c r="H38" s="32"/>
      <c r="J38">
        <f t="shared" si="0"/>
        <v>0</v>
      </c>
      <c r="K38">
        <f t="shared" si="1"/>
        <v>0</v>
      </c>
      <c r="L38">
        <f t="shared" si="2"/>
        <v>0</v>
      </c>
      <c r="M38" s="35">
        <f t="shared" si="3"/>
        <v>0</v>
      </c>
    </row>
    <row r="39" spans="1:13" x14ac:dyDescent="0.25">
      <c r="A39" s="31">
        <v>37</v>
      </c>
      <c r="B39" s="32" t="s">
        <v>70</v>
      </c>
      <c r="C39" s="32"/>
      <c r="D39" s="32"/>
      <c r="E39" s="32"/>
      <c r="F39" s="32"/>
      <c r="G39" s="32"/>
      <c r="H39" s="32"/>
      <c r="J39">
        <f t="shared" si="0"/>
        <v>0</v>
      </c>
      <c r="K39">
        <f t="shared" si="1"/>
        <v>0</v>
      </c>
      <c r="L39">
        <f t="shared" si="2"/>
        <v>0</v>
      </c>
      <c r="M39" s="35">
        <f t="shared" si="3"/>
        <v>0</v>
      </c>
    </row>
    <row r="40" spans="1:13" x14ac:dyDescent="0.25">
      <c r="A40" s="31">
        <v>38</v>
      </c>
      <c r="B40" s="32" t="s">
        <v>71</v>
      </c>
      <c r="C40" s="32"/>
      <c r="D40" s="32"/>
      <c r="E40" s="32"/>
      <c r="F40" s="32"/>
      <c r="G40" s="32"/>
      <c r="H40" s="32"/>
      <c r="J40">
        <f t="shared" si="0"/>
        <v>0</v>
      </c>
      <c r="K40">
        <f t="shared" si="1"/>
        <v>0</v>
      </c>
      <c r="L40">
        <f t="shared" si="2"/>
        <v>0</v>
      </c>
      <c r="M40" s="35">
        <f t="shared" si="3"/>
        <v>0</v>
      </c>
    </row>
    <row r="41" spans="1:13" x14ac:dyDescent="0.25">
      <c r="A41" s="31">
        <v>39</v>
      </c>
      <c r="B41" s="32" t="s">
        <v>76</v>
      </c>
      <c r="C41" s="32"/>
      <c r="D41" s="32"/>
      <c r="E41" s="32"/>
      <c r="F41" s="32"/>
      <c r="G41" s="32"/>
      <c r="H41" s="32"/>
      <c r="J41">
        <f t="shared" si="0"/>
        <v>0</v>
      </c>
      <c r="K41">
        <f t="shared" si="1"/>
        <v>0</v>
      </c>
      <c r="L41">
        <f t="shared" si="2"/>
        <v>0</v>
      </c>
      <c r="M41" s="35">
        <f t="shared" si="3"/>
        <v>0</v>
      </c>
    </row>
    <row r="42" spans="1:13" x14ac:dyDescent="0.25">
      <c r="A42" s="31">
        <v>40</v>
      </c>
      <c r="B42" s="32" t="s">
        <v>77</v>
      </c>
      <c r="C42" s="32"/>
      <c r="D42" s="32"/>
      <c r="E42" s="32"/>
      <c r="F42" s="32"/>
      <c r="G42" s="32"/>
      <c r="H42" s="32"/>
      <c r="J42">
        <f t="shared" si="0"/>
        <v>0</v>
      </c>
      <c r="K42">
        <f t="shared" si="1"/>
        <v>0</v>
      </c>
      <c r="L42">
        <f t="shared" si="2"/>
        <v>0</v>
      </c>
      <c r="M42" s="35">
        <f t="shared" si="3"/>
        <v>0</v>
      </c>
    </row>
    <row r="43" spans="1:13" x14ac:dyDescent="0.25">
      <c r="A43" s="31">
        <v>41</v>
      </c>
      <c r="B43" s="32" t="s">
        <v>78</v>
      </c>
      <c r="C43" s="32"/>
      <c r="D43" s="32"/>
      <c r="E43" s="32"/>
      <c r="F43" s="32"/>
      <c r="G43" s="32"/>
      <c r="H43" s="32"/>
      <c r="J43">
        <f t="shared" si="0"/>
        <v>0</v>
      </c>
      <c r="K43">
        <f t="shared" si="1"/>
        <v>0</v>
      </c>
      <c r="L43">
        <f t="shared" si="2"/>
        <v>0</v>
      </c>
      <c r="M43" s="35">
        <f t="shared" si="3"/>
        <v>0</v>
      </c>
    </row>
    <row r="44" spans="1:13" x14ac:dyDescent="0.25">
      <c r="A44" s="31">
        <v>42</v>
      </c>
      <c r="B44" s="32" t="s">
        <v>79</v>
      </c>
      <c r="C44" s="32"/>
      <c r="D44" s="32"/>
      <c r="E44" s="32"/>
      <c r="F44" s="32"/>
      <c r="G44" s="32"/>
      <c r="H44" s="32"/>
      <c r="J44">
        <f t="shared" si="0"/>
        <v>0</v>
      </c>
      <c r="K44">
        <f t="shared" si="1"/>
        <v>0</v>
      </c>
      <c r="L44">
        <f t="shared" si="2"/>
        <v>0</v>
      </c>
      <c r="M44" s="35">
        <f t="shared" si="3"/>
        <v>0</v>
      </c>
    </row>
    <row r="45" spans="1:13" x14ac:dyDescent="0.25">
      <c r="A45" s="31">
        <v>43</v>
      </c>
      <c r="B45" s="32" t="s">
        <v>80</v>
      </c>
      <c r="C45" s="32"/>
      <c r="D45" s="32"/>
      <c r="E45" s="32"/>
      <c r="F45" s="32"/>
      <c r="G45" s="32"/>
      <c r="H45" s="32"/>
      <c r="J45">
        <f t="shared" si="0"/>
        <v>0</v>
      </c>
      <c r="K45">
        <f t="shared" si="1"/>
        <v>0</v>
      </c>
      <c r="L45">
        <f t="shared" si="2"/>
        <v>0</v>
      </c>
      <c r="M45" s="35">
        <f t="shared" si="3"/>
        <v>0</v>
      </c>
    </row>
    <row r="46" spans="1:13" x14ac:dyDescent="0.25">
      <c r="A46" s="31">
        <v>44</v>
      </c>
      <c r="B46" s="32" t="s">
        <v>81</v>
      </c>
      <c r="C46" s="32"/>
      <c r="D46" s="32"/>
      <c r="E46" s="32"/>
      <c r="F46" s="32"/>
      <c r="G46" s="32"/>
      <c r="H46" s="32"/>
      <c r="J46">
        <f t="shared" si="0"/>
        <v>0</v>
      </c>
      <c r="K46">
        <f t="shared" si="1"/>
        <v>0</v>
      </c>
      <c r="L46">
        <f t="shared" si="2"/>
        <v>0</v>
      </c>
      <c r="M46" s="35">
        <f t="shared" si="3"/>
        <v>0</v>
      </c>
    </row>
    <row r="47" spans="1:13" x14ac:dyDescent="0.25">
      <c r="A47" s="31">
        <v>45</v>
      </c>
      <c r="B47" s="32" t="s">
        <v>82</v>
      </c>
      <c r="C47" s="32"/>
      <c r="D47" s="32"/>
      <c r="E47" s="32"/>
      <c r="F47" s="32"/>
      <c r="G47" s="32"/>
      <c r="H47" s="32"/>
      <c r="J47">
        <f t="shared" si="0"/>
        <v>0</v>
      </c>
      <c r="K47">
        <f t="shared" si="1"/>
        <v>0</v>
      </c>
      <c r="L47">
        <f t="shared" si="2"/>
        <v>0</v>
      </c>
      <c r="M47" s="35">
        <f t="shared" si="3"/>
        <v>0</v>
      </c>
    </row>
    <row r="48" spans="1:13" x14ac:dyDescent="0.25">
      <c r="A48" s="31">
        <v>46</v>
      </c>
      <c r="B48" s="32" t="s">
        <v>55</v>
      </c>
      <c r="C48" s="32"/>
      <c r="D48" s="32"/>
      <c r="E48" s="32"/>
      <c r="F48" s="32"/>
      <c r="G48" s="32"/>
      <c r="H48" s="32"/>
      <c r="J48">
        <f t="shared" si="0"/>
        <v>0</v>
      </c>
      <c r="K48">
        <f t="shared" si="1"/>
        <v>0</v>
      </c>
      <c r="L48">
        <f t="shared" si="2"/>
        <v>0</v>
      </c>
      <c r="M48" s="35">
        <f t="shared" si="3"/>
        <v>0</v>
      </c>
    </row>
    <row r="49" spans="1:13" x14ac:dyDescent="0.25">
      <c r="A49" s="31">
        <v>47</v>
      </c>
      <c r="B49" s="32" t="s">
        <v>83</v>
      </c>
      <c r="C49" s="32"/>
      <c r="D49" s="32"/>
      <c r="E49" s="32"/>
      <c r="F49" s="32"/>
      <c r="G49" s="32"/>
      <c r="H49" s="32"/>
      <c r="J49">
        <f t="shared" si="0"/>
        <v>0</v>
      </c>
      <c r="K49">
        <f t="shared" si="1"/>
        <v>0</v>
      </c>
      <c r="L49">
        <f t="shared" si="2"/>
        <v>0</v>
      </c>
      <c r="M49" s="35">
        <f t="shared" si="3"/>
        <v>0</v>
      </c>
    </row>
    <row r="50" spans="1:13" x14ac:dyDescent="0.25">
      <c r="A50" s="31">
        <v>48</v>
      </c>
      <c r="B50" s="32" t="s">
        <v>84</v>
      </c>
      <c r="C50" s="32"/>
      <c r="D50" s="32"/>
      <c r="E50" s="32"/>
      <c r="F50" s="32"/>
      <c r="G50" s="32"/>
      <c r="H50" s="32"/>
      <c r="J50">
        <f t="shared" si="0"/>
        <v>0</v>
      </c>
      <c r="K50">
        <f t="shared" si="1"/>
        <v>0</v>
      </c>
      <c r="L50">
        <f t="shared" si="2"/>
        <v>0</v>
      </c>
      <c r="M50" s="35">
        <f t="shared" si="3"/>
        <v>0</v>
      </c>
    </row>
    <row r="51" spans="1:13" x14ac:dyDescent="0.25">
      <c r="A51" s="31">
        <v>49</v>
      </c>
      <c r="B51" s="32" t="s">
        <v>85</v>
      </c>
      <c r="C51" s="32"/>
      <c r="D51" s="32"/>
      <c r="E51" s="32"/>
      <c r="F51" s="32"/>
      <c r="G51" s="32"/>
      <c r="H51" s="32"/>
      <c r="J51">
        <f t="shared" si="0"/>
        <v>0</v>
      </c>
      <c r="K51">
        <f t="shared" si="1"/>
        <v>0</v>
      </c>
      <c r="L51">
        <f t="shared" si="2"/>
        <v>0</v>
      </c>
      <c r="M51" s="35">
        <f t="shared" si="3"/>
        <v>0</v>
      </c>
    </row>
    <row r="52" spans="1:13" x14ac:dyDescent="0.25">
      <c r="A52" s="31">
        <v>50</v>
      </c>
      <c r="B52" s="32" t="s">
        <v>86</v>
      </c>
      <c r="C52" s="32"/>
      <c r="D52" s="32"/>
      <c r="E52" s="32"/>
      <c r="F52" s="32"/>
      <c r="G52" s="32"/>
      <c r="H52" s="32"/>
      <c r="J52">
        <f t="shared" si="0"/>
        <v>0</v>
      </c>
      <c r="K52">
        <f t="shared" si="1"/>
        <v>0</v>
      </c>
      <c r="L52">
        <f t="shared" si="2"/>
        <v>0</v>
      </c>
      <c r="M52" s="35">
        <f t="shared" si="3"/>
        <v>0</v>
      </c>
    </row>
    <row r="53" spans="1:13" x14ac:dyDescent="0.25">
      <c r="A53" s="31">
        <v>51</v>
      </c>
      <c r="B53" s="32" t="s">
        <v>87</v>
      </c>
      <c r="C53" s="32"/>
      <c r="D53" s="32"/>
      <c r="E53" s="32"/>
      <c r="F53" s="32"/>
      <c r="G53" s="32"/>
      <c r="H53" s="32"/>
      <c r="J53">
        <f t="shared" si="0"/>
        <v>0</v>
      </c>
      <c r="K53">
        <f t="shared" si="1"/>
        <v>0</v>
      </c>
      <c r="L53">
        <f t="shared" si="2"/>
        <v>0</v>
      </c>
      <c r="M53" s="35">
        <f t="shared" si="3"/>
        <v>0</v>
      </c>
    </row>
    <row r="54" spans="1:13" x14ac:dyDescent="0.25">
      <c r="A54" s="31">
        <v>52</v>
      </c>
      <c r="B54" s="32" t="s">
        <v>88</v>
      </c>
      <c r="C54" s="32"/>
      <c r="D54" s="32"/>
      <c r="E54" s="32"/>
      <c r="F54" s="32"/>
      <c r="G54" s="32"/>
      <c r="H54" s="32"/>
      <c r="J54">
        <f t="shared" si="0"/>
        <v>0</v>
      </c>
      <c r="K54">
        <f t="shared" si="1"/>
        <v>0</v>
      </c>
      <c r="L54">
        <f t="shared" si="2"/>
        <v>0</v>
      </c>
      <c r="M54" s="35">
        <f t="shared" si="3"/>
        <v>0</v>
      </c>
    </row>
    <row r="55" spans="1:13" x14ac:dyDescent="0.25">
      <c r="A55" s="31">
        <v>53</v>
      </c>
      <c r="B55" s="32" t="s">
        <v>89</v>
      </c>
      <c r="C55" s="32"/>
      <c r="D55" s="32"/>
      <c r="E55" s="32"/>
      <c r="F55" s="31">
        <v>1</v>
      </c>
      <c r="G55" s="32"/>
      <c r="H55" s="31">
        <v>2</v>
      </c>
      <c r="J55">
        <f t="shared" si="0"/>
        <v>0</v>
      </c>
      <c r="K55">
        <f t="shared" si="1"/>
        <v>20</v>
      </c>
      <c r="L55">
        <f t="shared" si="2"/>
        <v>0</v>
      </c>
      <c r="M55" s="35">
        <f t="shared" si="3"/>
        <v>20</v>
      </c>
    </row>
    <row r="56" spans="1:13" x14ac:dyDescent="0.25">
      <c r="A56" s="31">
        <v>54</v>
      </c>
      <c r="B56" s="32" t="s">
        <v>75</v>
      </c>
      <c r="C56" s="32"/>
      <c r="D56" s="32"/>
      <c r="E56" s="32"/>
      <c r="F56" s="32"/>
      <c r="G56" s="32"/>
      <c r="H56" s="32"/>
      <c r="J56">
        <f t="shared" si="0"/>
        <v>0</v>
      </c>
      <c r="K56">
        <f t="shared" si="1"/>
        <v>0</v>
      </c>
      <c r="L56">
        <f t="shared" si="2"/>
        <v>0</v>
      </c>
      <c r="M56" s="35">
        <f t="shared" si="3"/>
        <v>0</v>
      </c>
    </row>
    <row r="57" spans="1:13" x14ac:dyDescent="0.25">
      <c r="A57" s="31">
        <v>55</v>
      </c>
      <c r="B57" s="32" t="s">
        <v>74</v>
      </c>
      <c r="C57" s="32"/>
      <c r="D57" s="32"/>
      <c r="E57" s="32"/>
      <c r="F57" s="32"/>
      <c r="G57" s="32"/>
      <c r="H57" s="32"/>
      <c r="J57">
        <f t="shared" si="0"/>
        <v>0</v>
      </c>
      <c r="K57">
        <f t="shared" si="1"/>
        <v>0</v>
      </c>
      <c r="L57">
        <f t="shared" si="2"/>
        <v>0</v>
      </c>
      <c r="M57" s="35">
        <f t="shared" si="3"/>
        <v>0</v>
      </c>
    </row>
    <row r="58" spans="1:13" x14ac:dyDescent="0.25">
      <c r="A58" s="31">
        <v>56</v>
      </c>
      <c r="B58" s="32" t="s">
        <v>73</v>
      </c>
      <c r="C58" s="32"/>
      <c r="D58" s="32"/>
      <c r="E58" s="32"/>
      <c r="F58" s="32"/>
      <c r="G58" s="32"/>
      <c r="H58" s="32"/>
      <c r="J58">
        <f t="shared" si="0"/>
        <v>0</v>
      </c>
      <c r="K58">
        <f t="shared" si="1"/>
        <v>0</v>
      </c>
      <c r="L58">
        <f t="shared" si="2"/>
        <v>0</v>
      </c>
      <c r="M58" s="35">
        <f t="shared" si="3"/>
        <v>0</v>
      </c>
    </row>
    <row r="59" spans="1:13" x14ac:dyDescent="0.25">
      <c r="A59" s="31">
        <v>57</v>
      </c>
      <c r="B59" s="32" t="s">
        <v>72</v>
      </c>
      <c r="C59" s="32"/>
      <c r="D59" s="32"/>
      <c r="E59" s="32"/>
      <c r="F59" s="32"/>
      <c r="G59" s="32"/>
      <c r="H59" s="32"/>
      <c r="J59">
        <f t="shared" si="0"/>
        <v>0</v>
      </c>
      <c r="K59">
        <f t="shared" si="1"/>
        <v>0</v>
      </c>
      <c r="L59">
        <f t="shared" si="2"/>
        <v>0</v>
      </c>
      <c r="M59" s="35">
        <f t="shared" si="3"/>
        <v>0</v>
      </c>
    </row>
    <row r="60" spans="1:13" x14ac:dyDescent="0.25">
      <c r="A60" s="31">
        <v>58</v>
      </c>
      <c r="B60" s="32" t="s">
        <v>48</v>
      </c>
      <c r="C60" s="32"/>
      <c r="D60" s="32"/>
      <c r="E60" s="32"/>
      <c r="F60" s="32"/>
      <c r="G60" s="32"/>
      <c r="H60" s="32"/>
      <c r="J60">
        <f t="shared" si="0"/>
        <v>0</v>
      </c>
      <c r="K60">
        <f t="shared" si="1"/>
        <v>0</v>
      </c>
      <c r="L60">
        <f t="shared" si="2"/>
        <v>0</v>
      </c>
      <c r="M60" s="35">
        <f t="shared" si="3"/>
        <v>0</v>
      </c>
    </row>
    <row r="61" spans="1:13" x14ac:dyDescent="0.25">
      <c r="A61" s="31">
        <v>59</v>
      </c>
      <c r="B61" s="32" t="s">
        <v>90</v>
      </c>
      <c r="C61" s="32"/>
      <c r="D61" s="32"/>
      <c r="E61" s="32"/>
      <c r="F61" s="32"/>
      <c r="G61" s="32"/>
      <c r="H61" s="32"/>
      <c r="J61">
        <f t="shared" si="0"/>
        <v>0</v>
      </c>
      <c r="K61">
        <f t="shared" si="1"/>
        <v>0</v>
      </c>
      <c r="L61">
        <f t="shared" si="2"/>
        <v>0</v>
      </c>
      <c r="M61" s="35">
        <f t="shared" si="3"/>
        <v>0</v>
      </c>
    </row>
    <row r="62" spans="1:13" x14ac:dyDescent="0.25">
      <c r="A62" s="31">
        <v>60</v>
      </c>
      <c r="B62" s="32" t="s">
        <v>91</v>
      </c>
      <c r="C62" s="32"/>
      <c r="D62" s="32"/>
      <c r="E62" s="32"/>
      <c r="F62" s="32"/>
      <c r="G62" s="32"/>
      <c r="H62" s="32"/>
      <c r="J62">
        <f t="shared" si="0"/>
        <v>0</v>
      </c>
      <c r="K62">
        <f t="shared" si="1"/>
        <v>0</v>
      </c>
      <c r="L62">
        <f t="shared" si="2"/>
        <v>0</v>
      </c>
      <c r="M62" s="35">
        <f t="shared" si="3"/>
        <v>0</v>
      </c>
    </row>
    <row r="63" spans="1:13" x14ac:dyDescent="0.25">
      <c r="A63" s="30"/>
      <c r="B63" s="30"/>
      <c r="C63" s="30"/>
      <c r="D63" s="30"/>
      <c r="E63" s="30"/>
      <c r="F63" s="30"/>
      <c r="G63" s="30"/>
      <c r="H63" s="30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8" sqref="P8"/>
    </sheetView>
  </sheetViews>
  <sheetFormatPr defaultRowHeight="15" outlineLevelCol="1" x14ac:dyDescent="0.25"/>
  <cols>
    <col min="2" max="2" width="21" customWidth="1"/>
    <col min="3" max="3" width="9.140625" customWidth="1" outlineLevel="1"/>
    <col min="5" max="5" width="0" hidden="1" customWidth="1" outlineLevel="1"/>
    <col min="6" max="6" width="9.140625" collapsed="1"/>
    <col min="8" max="8" width="0" hidden="1" customWidth="1" outlineLevel="1"/>
    <col min="9" max="9" width="9.140625" collapsed="1"/>
    <col min="10" max="10" width="12.7109375" customWidth="1"/>
    <col min="11" max="11" width="10.42578125" customWidth="1"/>
    <col min="12" max="12" width="9.7109375" customWidth="1"/>
    <col min="13" max="13" width="9.140625" style="35"/>
  </cols>
  <sheetData>
    <row r="1" spans="1:13" x14ac:dyDescent="0.25">
      <c r="J1">
        <v>15</v>
      </c>
      <c r="K1">
        <v>35</v>
      </c>
      <c r="L1">
        <v>70</v>
      </c>
    </row>
    <row r="2" spans="1:13" x14ac:dyDescent="0.25">
      <c r="A2" s="33" t="s">
        <v>30</v>
      </c>
      <c r="B2" s="33" t="s">
        <v>31</v>
      </c>
      <c r="C2" s="33" t="s">
        <v>32</v>
      </c>
      <c r="D2" s="33" t="s">
        <v>33</v>
      </c>
      <c r="E2" s="33" t="s">
        <v>34</v>
      </c>
      <c r="F2" s="33" t="s">
        <v>28</v>
      </c>
      <c r="G2" s="33" t="s">
        <v>29</v>
      </c>
      <c r="H2" s="33" t="s">
        <v>35</v>
      </c>
      <c r="J2" s="34" t="str">
        <f>D2</f>
        <v>Еф визиты</v>
      </c>
      <c r="K2" s="34" t="str">
        <f>F2</f>
        <v>Задания</v>
      </c>
      <c r="L2" s="34" t="str">
        <f>G2</f>
        <v>Заказы</v>
      </c>
      <c r="M2" s="36" t="s">
        <v>93</v>
      </c>
    </row>
    <row r="3" spans="1:13" x14ac:dyDescent="0.25">
      <c r="A3" s="31">
        <v>1</v>
      </c>
      <c r="B3" s="32" t="s">
        <v>13</v>
      </c>
      <c r="C3" s="31">
        <v>521</v>
      </c>
      <c r="D3" s="31">
        <v>91</v>
      </c>
      <c r="E3" s="31">
        <v>388</v>
      </c>
      <c r="F3" s="31">
        <v>2</v>
      </c>
      <c r="G3" s="31">
        <v>1</v>
      </c>
      <c r="H3" s="31">
        <v>172</v>
      </c>
      <c r="J3">
        <f>D3*$J$1</f>
        <v>1365</v>
      </c>
      <c r="K3">
        <f>F3*$K$1</f>
        <v>70</v>
      </c>
      <c r="L3">
        <f>G3*$L$1</f>
        <v>70</v>
      </c>
      <c r="M3" s="35">
        <f>SUM(J3:L3)</f>
        <v>1505</v>
      </c>
    </row>
    <row r="4" spans="1:13" x14ac:dyDescent="0.25">
      <c r="A4" s="31">
        <v>2</v>
      </c>
      <c r="B4" s="32" t="s">
        <v>44</v>
      </c>
      <c r="C4" s="31">
        <v>435</v>
      </c>
      <c r="D4" s="31">
        <v>121</v>
      </c>
      <c r="E4" s="31">
        <v>398</v>
      </c>
      <c r="F4" s="31">
        <v>2</v>
      </c>
      <c r="G4" s="32"/>
      <c r="H4" s="31">
        <v>37</v>
      </c>
      <c r="J4">
        <f t="shared" ref="J4:J62" si="0">D4*$J$1</f>
        <v>1815</v>
      </c>
      <c r="K4">
        <f t="shared" ref="K4:K62" si="1">F4*$K$1</f>
        <v>70</v>
      </c>
      <c r="L4">
        <f t="shared" ref="L4:L62" si="2">G4*$L$1</f>
        <v>0</v>
      </c>
      <c r="M4" s="35">
        <f t="shared" ref="M4:M62" si="3">SUM(J4:L4)</f>
        <v>1885</v>
      </c>
    </row>
    <row r="5" spans="1:13" x14ac:dyDescent="0.25">
      <c r="A5" s="31">
        <v>3</v>
      </c>
      <c r="B5" s="32" t="s">
        <v>38</v>
      </c>
      <c r="C5" s="31">
        <v>430</v>
      </c>
      <c r="D5" s="31">
        <v>99</v>
      </c>
      <c r="E5" s="31">
        <v>336</v>
      </c>
      <c r="F5" s="31">
        <v>10</v>
      </c>
      <c r="G5" s="31">
        <v>3</v>
      </c>
      <c r="H5" s="31">
        <v>106</v>
      </c>
      <c r="J5">
        <f t="shared" si="0"/>
        <v>1485</v>
      </c>
      <c r="K5">
        <f t="shared" si="1"/>
        <v>350</v>
      </c>
      <c r="L5">
        <f t="shared" si="2"/>
        <v>210</v>
      </c>
      <c r="M5" s="35">
        <f t="shared" si="3"/>
        <v>2045</v>
      </c>
    </row>
    <row r="6" spans="1:13" x14ac:dyDescent="0.25">
      <c r="A6" s="31">
        <v>4</v>
      </c>
      <c r="B6" s="32" t="s">
        <v>37</v>
      </c>
      <c r="C6" s="31">
        <v>377</v>
      </c>
      <c r="D6" s="31">
        <v>155</v>
      </c>
      <c r="E6" s="31">
        <v>148</v>
      </c>
      <c r="F6" s="31">
        <v>28</v>
      </c>
      <c r="G6" s="31">
        <v>22</v>
      </c>
      <c r="H6" s="31">
        <v>96</v>
      </c>
      <c r="J6">
        <f t="shared" si="0"/>
        <v>2325</v>
      </c>
      <c r="K6">
        <f t="shared" si="1"/>
        <v>980</v>
      </c>
      <c r="L6">
        <f t="shared" si="2"/>
        <v>1540</v>
      </c>
      <c r="M6" s="35">
        <f t="shared" si="3"/>
        <v>4845</v>
      </c>
    </row>
    <row r="7" spans="1:13" x14ac:dyDescent="0.25">
      <c r="A7" s="31">
        <v>5</v>
      </c>
      <c r="B7" s="32" t="s">
        <v>36</v>
      </c>
      <c r="C7" s="31">
        <v>370</v>
      </c>
      <c r="D7" s="31">
        <v>43</v>
      </c>
      <c r="E7" s="31">
        <v>210</v>
      </c>
      <c r="F7" s="32"/>
      <c r="G7" s="31">
        <v>2</v>
      </c>
      <c r="H7" s="31">
        <v>182</v>
      </c>
      <c r="J7">
        <f t="shared" si="0"/>
        <v>645</v>
      </c>
      <c r="K7">
        <f t="shared" si="1"/>
        <v>0</v>
      </c>
      <c r="L7">
        <f t="shared" si="2"/>
        <v>140</v>
      </c>
      <c r="M7" s="35">
        <f t="shared" si="3"/>
        <v>785</v>
      </c>
    </row>
    <row r="8" spans="1:13" x14ac:dyDescent="0.25">
      <c r="A8" s="31">
        <v>6</v>
      </c>
      <c r="B8" s="32" t="s">
        <v>12</v>
      </c>
      <c r="C8" s="31">
        <v>330</v>
      </c>
      <c r="D8" s="31">
        <v>86</v>
      </c>
      <c r="E8" s="31">
        <v>174</v>
      </c>
      <c r="F8" s="31">
        <v>22</v>
      </c>
      <c r="G8" s="31">
        <v>8</v>
      </c>
      <c r="H8" s="31">
        <v>69</v>
      </c>
      <c r="J8">
        <f t="shared" si="0"/>
        <v>1290</v>
      </c>
      <c r="K8">
        <f t="shared" si="1"/>
        <v>770</v>
      </c>
      <c r="L8">
        <f t="shared" si="2"/>
        <v>560</v>
      </c>
      <c r="M8" s="35">
        <f t="shared" si="3"/>
        <v>2620</v>
      </c>
    </row>
    <row r="9" spans="1:13" x14ac:dyDescent="0.25">
      <c r="A9" s="31">
        <v>7</v>
      </c>
      <c r="B9" s="32" t="s">
        <v>40</v>
      </c>
      <c r="C9" s="31">
        <v>306</v>
      </c>
      <c r="D9" s="31">
        <v>98</v>
      </c>
      <c r="E9" s="31">
        <v>268</v>
      </c>
      <c r="F9" s="31">
        <v>4</v>
      </c>
      <c r="G9" s="31">
        <v>1</v>
      </c>
      <c r="H9" s="31">
        <v>71</v>
      </c>
      <c r="J9">
        <f t="shared" si="0"/>
        <v>1470</v>
      </c>
      <c r="K9">
        <f t="shared" si="1"/>
        <v>140</v>
      </c>
      <c r="L9">
        <f t="shared" si="2"/>
        <v>70</v>
      </c>
      <c r="M9" s="35">
        <f t="shared" si="3"/>
        <v>1680</v>
      </c>
    </row>
    <row r="10" spans="1:13" x14ac:dyDescent="0.25">
      <c r="A10" s="31">
        <v>8</v>
      </c>
      <c r="B10" s="32" t="s">
        <v>47</v>
      </c>
      <c r="C10" s="31">
        <v>289</v>
      </c>
      <c r="D10" s="31">
        <v>105</v>
      </c>
      <c r="E10" s="31">
        <v>119</v>
      </c>
      <c r="F10" s="31">
        <v>4</v>
      </c>
      <c r="G10" s="31">
        <v>2</v>
      </c>
      <c r="H10" s="31">
        <v>47</v>
      </c>
      <c r="J10">
        <f t="shared" si="0"/>
        <v>1575</v>
      </c>
      <c r="K10">
        <f t="shared" si="1"/>
        <v>140</v>
      </c>
      <c r="L10">
        <f t="shared" si="2"/>
        <v>140</v>
      </c>
      <c r="M10" s="35">
        <f t="shared" si="3"/>
        <v>1855</v>
      </c>
    </row>
    <row r="11" spans="1:13" x14ac:dyDescent="0.25">
      <c r="A11" s="31">
        <v>9</v>
      </c>
      <c r="B11" s="32" t="s">
        <v>39</v>
      </c>
      <c r="C11" s="31">
        <v>285</v>
      </c>
      <c r="D11" s="31">
        <v>101</v>
      </c>
      <c r="E11" s="31">
        <v>130</v>
      </c>
      <c r="F11" s="31">
        <v>20</v>
      </c>
      <c r="G11" s="31">
        <v>17</v>
      </c>
      <c r="H11" s="31">
        <v>147</v>
      </c>
      <c r="J11">
        <f t="shared" si="0"/>
        <v>1515</v>
      </c>
      <c r="K11">
        <f t="shared" si="1"/>
        <v>700</v>
      </c>
      <c r="L11">
        <f t="shared" si="2"/>
        <v>1190</v>
      </c>
      <c r="M11" s="35">
        <f t="shared" si="3"/>
        <v>3405</v>
      </c>
    </row>
    <row r="12" spans="1:13" x14ac:dyDescent="0.25">
      <c r="A12" s="31">
        <v>10</v>
      </c>
      <c r="B12" s="32" t="s">
        <v>43</v>
      </c>
      <c r="C12" s="31">
        <v>268</v>
      </c>
      <c r="D12" s="31">
        <v>151</v>
      </c>
      <c r="E12" s="31">
        <v>185</v>
      </c>
      <c r="F12" s="31">
        <v>1</v>
      </c>
      <c r="G12" s="31">
        <v>2</v>
      </c>
      <c r="H12" s="31">
        <v>38</v>
      </c>
      <c r="J12">
        <f t="shared" si="0"/>
        <v>2265</v>
      </c>
      <c r="K12">
        <f t="shared" si="1"/>
        <v>35</v>
      </c>
      <c r="L12">
        <f t="shared" si="2"/>
        <v>140</v>
      </c>
      <c r="M12" s="35">
        <f t="shared" si="3"/>
        <v>2440</v>
      </c>
    </row>
    <row r="13" spans="1:13" x14ac:dyDescent="0.25">
      <c r="A13" s="31">
        <v>11</v>
      </c>
      <c r="B13" s="32" t="s">
        <v>41</v>
      </c>
      <c r="C13" s="31">
        <v>265</v>
      </c>
      <c r="D13" s="31">
        <v>81</v>
      </c>
      <c r="E13" s="31">
        <v>156</v>
      </c>
      <c r="F13" s="31">
        <v>10</v>
      </c>
      <c r="G13" s="31">
        <v>4</v>
      </c>
      <c r="H13" s="31">
        <v>142</v>
      </c>
      <c r="J13">
        <f t="shared" si="0"/>
        <v>1215</v>
      </c>
      <c r="K13">
        <f t="shared" si="1"/>
        <v>350</v>
      </c>
      <c r="L13">
        <f t="shared" si="2"/>
        <v>280</v>
      </c>
      <c r="M13" s="35">
        <f t="shared" si="3"/>
        <v>1845</v>
      </c>
    </row>
    <row r="14" spans="1:13" x14ac:dyDescent="0.25">
      <c r="A14" s="31">
        <v>12</v>
      </c>
      <c r="B14" s="32" t="s">
        <v>45</v>
      </c>
      <c r="C14" s="31">
        <v>223</v>
      </c>
      <c r="D14" s="31">
        <v>10</v>
      </c>
      <c r="E14" s="31">
        <v>208</v>
      </c>
      <c r="F14" s="31">
        <v>8</v>
      </c>
      <c r="G14" s="31">
        <v>1</v>
      </c>
      <c r="H14" s="31">
        <v>198</v>
      </c>
      <c r="J14">
        <f t="shared" si="0"/>
        <v>150</v>
      </c>
      <c r="K14">
        <f t="shared" si="1"/>
        <v>280</v>
      </c>
      <c r="L14">
        <f t="shared" si="2"/>
        <v>70</v>
      </c>
      <c r="M14" s="35">
        <f t="shared" si="3"/>
        <v>500</v>
      </c>
    </row>
    <row r="15" spans="1:13" x14ac:dyDescent="0.25">
      <c r="A15" s="31">
        <v>13</v>
      </c>
      <c r="B15" s="32" t="s">
        <v>42</v>
      </c>
      <c r="C15" s="31">
        <v>214</v>
      </c>
      <c r="D15" s="31">
        <v>60</v>
      </c>
      <c r="E15" s="31">
        <v>62</v>
      </c>
      <c r="F15" s="31">
        <v>11</v>
      </c>
      <c r="G15" s="31">
        <v>10</v>
      </c>
      <c r="H15" s="31">
        <v>141</v>
      </c>
      <c r="J15">
        <f t="shared" si="0"/>
        <v>900</v>
      </c>
      <c r="K15">
        <f t="shared" si="1"/>
        <v>385</v>
      </c>
      <c r="L15">
        <f t="shared" si="2"/>
        <v>700</v>
      </c>
      <c r="M15" s="35">
        <f t="shared" si="3"/>
        <v>1985</v>
      </c>
    </row>
    <row r="16" spans="1:13" x14ac:dyDescent="0.25">
      <c r="A16" s="31">
        <v>14</v>
      </c>
      <c r="B16" s="32" t="s">
        <v>46</v>
      </c>
      <c r="C16" s="31">
        <v>193</v>
      </c>
      <c r="D16" s="31">
        <v>61</v>
      </c>
      <c r="E16" s="31">
        <v>63</v>
      </c>
      <c r="F16" s="31">
        <v>22</v>
      </c>
      <c r="G16" s="31">
        <v>13</v>
      </c>
      <c r="H16" s="31">
        <v>4</v>
      </c>
      <c r="J16">
        <f t="shared" si="0"/>
        <v>915</v>
      </c>
      <c r="K16">
        <f t="shared" si="1"/>
        <v>770</v>
      </c>
      <c r="L16">
        <f t="shared" si="2"/>
        <v>910</v>
      </c>
      <c r="M16" s="35">
        <f t="shared" si="3"/>
        <v>2595</v>
      </c>
    </row>
    <row r="17" spans="1:13" x14ac:dyDescent="0.25">
      <c r="A17" s="31">
        <v>15</v>
      </c>
      <c r="B17" s="32" t="s">
        <v>49</v>
      </c>
      <c r="C17" s="31">
        <v>178</v>
      </c>
      <c r="D17" s="31">
        <v>21</v>
      </c>
      <c r="E17" s="31">
        <v>108</v>
      </c>
      <c r="F17" s="31">
        <v>1</v>
      </c>
      <c r="G17" s="32"/>
      <c r="H17" s="31">
        <v>2</v>
      </c>
      <c r="J17">
        <f t="shared" si="0"/>
        <v>315</v>
      </c>
      <c r="K17">
        <f t="shared" si="1"/>
        <v>35</v>
      </c>
      <c r="L17">
        <f t="shared" si="2"/>
        <v>0</v>
      </c>
      <c r="M17" s="35">
        <f t="shared" si="3"/>
        <v>350</v>
      </c>
    </row>
    <row r="18" spans="1:13" x14ac:dyDescent="0.25">
      <c r="A18" s="31">
        <v>16</v>
      </c>
      <c r="B18" s="32" t="s">
        <v>18</v>
      </c>
      <c r="C18" s="31">
        <v>143</v>
      </c>
      <c r="D18" s="31">
        <v>65</v>
      </c>
      <c r="E18" s="31">
        <v>104</v>
      </c>
      <c r="F18" s="31">
        <v>8</v>
      </c>
      <c r="G18" s="31">
        <v>4</v>
      </c>
      <c r="H18" s="31">
        <v>55</v>
      </c>
      <c r="J18">
        <f t="shared" si="0"/>
        <v>975</v>
      </c>
      <c r="K18">
        <f t="shared" si="1"/>
        <v>280</v>
      </c>
      <c r="L18">
        <f t="shared" si="2"/>
        <v>280</v>
      </c>
      <c r="M18" s="35">
        <f t="shared" si="3"/>
        <v>1535</v>
      </c>
    </row>
    <row r="19" spans="1:13" x14ac:dyDescent="0.25">
      <c r="A19" s="31">
        <v>17</v>
      </c>
      <c r="B19" s="32" t="s">
        <v>50</v>
      </c>
      <c r="C19" s="31">
        <v>128</v>
      </c>
      <c r="D19" s="31">
        <v>49</v>
      </c>
      <c r="E19" s="31">
        <v>60</v>
      </c>
      <c r="F19" s="32"/>
      <c r="G19" s="32"/>
      <c r="H19" s="31">
        <v>69</v>
      </c>
      <c r="J19">
        <f t="shared" si="0"/>
        <v>735</v>
      </c>
      <c r="K19">
        <f t="shared" si="1"/>
        <v>0</v>
      </c>
      <c r="L19">
        <f t="shared" si="2"/>
        <v>0</v>
      </c>
      <c r="M19" s="35">
        <f t="shared" si="3"/>
        <v>735</v>
      </c>
    </row>
    <row r="20" spans="1:13" x14ac:dyDescent="0.25">
      <c r="A20" s="31">
        <v>18</v>
      </c>
      <c r="B20" s="32" t="s">
        <v>51</v>
      </c>
      <c r="C20" s="31">
        <v>107</v>
      </c>
      <c r="D20" s="31">
        <v>20</v>
      </c>
      <c r="E20" s="31">
        <v>22</v>
      </c>
      <c r="F20" s="31">
        <v>3</v>
      </c>
      <c r="G20" s="32"/>
      <c r="H20" s="31">
        <v>87</v>
      </c>
      <c r="J20">
        <f t="shared" si="0"/>
        <v>300</v>
      </c>
      <c r="K20">
        <f t="shared" si="1"/>
        <v>105</v>
      </c>
      <c r="L20">
        <f t="shared" si="2"/>
        <v>0</v>
      </c>
      <c r="M20" s="35">
        <f t="shared" si="3"/>
        <v>405</v>
      </c>
    </row>
    <row r="21" spans="1:13" x14ac:dyDescent="0.25">
      <c r="A21" s="31">
        <v>19</v>
      </c>
      <c r="B21" s="32" t="s">
        <v>53</v>
      </c>
      <c r="C21" s="31">
        <v>2</v>
      </c>
      <c r="D21" s="31">
        <v>2</v>
      </c>
      <c r="E21" s="32"/>
      <c r="F21" s="31">
        <v>1</v>
      </c>
      <c r="G21" s="32"/>
      <c r="H21" s="32"/>
      <c r="J21">
        <f t="shared" si="0"/>
        <v>30</v>
      </c>
      <c r="K21">
        <f t="shared" si="1"/>
        <v>35</v>
      </c>
      <c r="L21">
        <f t="shared" si="2"/>
        <v>0</v>
      </c>
      <c r="M21" s="35">
        <f t="shared" si="3"/>
        <v>65</v>
      </c>
    </row>
    <row r="22" spans="1:13" x14ac:dyDescent="0.25">
      <c r="A22" s="31">
        <v>20</v>
      </c>
      <c r="B22" s="32" t="s">
        <v>57</v>
      </c>
      <c r="C22" s="32"/>
      <c r="D22" s="32"/>
      <c r="E22" s="32"/>
      <c r="F22" s="32"/>
      <c r="G22" s="32"/>
      <c r="H22" s="32"/>
      <c r="J22">
        <f t="shared" si="0"/>
        <v>0</v>
      </c>
      <c r="K22">
        <f t="shared" si="1"/>
        <v>0</v>
      </c>
      <c r="L22">
        <f t="shared" si="2"/>
        <v>0</v>
      </c>
      <c r="M22" s="35">
        <f t="shared" si="3"/>
        <v>0</v>
      </c>
    </row>
    <row r="23" spans="1:13" x14ac:dyDescent="0.25">
      <c r="A23" s="31">
        <v>21</v>
      </c>
      <c r="B23" s="32" t="s">
        <v>56</v>
      </c>
      <c r="C23" s="32"/>
      <c r="D23" s="32"/>
      <c r="E23" s="32"/>
      <c r="F23" s="32"/>
      <c r="G23" s="32"/>
      <c r="H23" s="32"/>
      <c r="J23">
        <f t="shared" si="0"/>
        <v>0</v>
      </c>
      <c r="K23">
        <f t="shared" si="1"/>
        <v>0</v>
      </c>
      <c r="L23">
        <f t="shared" si="2"/>
        <v>0</v>
      </c>
      <c r="M23" s="35">
        <f t="shared" si="3"/>
        <v>0</v>
      </c>
    </row>
    <row r="24" spans="1:13" x14ac:dyDescent="0.25">
      <c r="A24" s="31">
        <v>22</v>
      </c>
      <c r="B24" s="32" t="s">
        <v>58</v>
      </c>
      <c r="C24" s="32"/>
      <c r="D24" s="32"/>
      <c r="E24" s="32"/>
      <c r="F24" s="32"/>
      <c r="G24" s="32"/>
      <c r="H24" s="32"/>
      <c r="J24">
        <f t="shared" si="0"/>
        <v>0</v>
      </c>
      <c r="K24">
        <f t="shared" si="1"/>
        <v>0</v>
      </c>
      <c r="L24">
        <f t="shared" si="2"/>
        <v>0</v>
      </c>
      <c r="M24" s="35">
        <f t="shared" si="3"/>
        <v>0</v>
      </c>
    </row>
    <row r="25" spans="1:13" x14ac:dyDescent="0.25">
      <c r="A25" s="31">
        <v>23</v>
      </c>
      <c r="B25" s="32" t="s">
        <v>54</v>
      </c>
      <c r="C25" s="32"/>
      <c r="D25" s="32"/>
      <c r="E25" s="32"/>
      <c r="F25" s="31">
        <v>1</v>
      </c>
      <c r="G25" s="32"/>
      <c r="H25" s="31">
        <v>1</v>
      </c>
      <c r="J25">
        <f t="shared" si="0"/>
        <v>0</v>
      </c>
      <c r="K25">
        <f t="shared" si="1"/>
        <v>35</v>
      </c>
      <c r="L25">
        <f t="shared" si="2"/>
        <v>0</v>
      </c>
      <c r="M25" s="35">
        <f t="shared" si="3"/>
        <v>35</v>
      </c>
    </row>
    <row r="26" spans="1:13" x14ac:dyDescent="0.25">
      <c r="A26" s="31">
        <v>24</v>
      </c>
      <c r="B26" s="32" t="s">
        <v>52</v>
      </c>
      <c r="C26" s="32"/>
      <c r="D26" s="32"/>
      <c r="E26" s="32"/>
      <c r="F26" s="32"/>
      <c r="G26" s="32"/>
      <c r="H26" s="32"/>
      <c r="J26">
        <f t="shared" si="0"/>
        <v>0</v>
      </c>
      <c r="K26">
        <f t="shared" si="1"/>
        <v>0</v>
      </c>
      <c r="L26">
        <f t="shared" si="2"/>
        <v>0</v>
      </c>
      <c r="M26" s="35">
        <f t="shared" si="3"/>
        <v>0</v>
      </c>
    </row>
    <row r="27" spans="1:13" x14ac:dyDescent="0.25">
      <c r="A27" s="31">
        <v>25</v>
      </c>
      <c r="B27" s="32" t="s">
        <v>59</v>
      </c>
      <c r="C27" s="32"/>
      <c r="D27" s="32"/>
      <c r="E27" s="32"/>
      <c r="F27" s="32"/>
      <c r="G27" s="32"/>
      <c r="H27" s="32"/>
      <c r="J27">
        <f t="shared" si="0"/>
        <v>0</v>
      </c>
      <c r="K27">
        <f t="shared" si="1"/>
        <v>0</v>
      </c>
      <c r="L27">
        <f t="shared" si="2"/>
        <v>0</v>
      </c>
      <c r="M27" s="35">
        <f t="shared" si="3"/>
        <v>0</v>
      </c>
    </row>
    <row r="28" spans="1:13" x14ac:dyDescent="0.25">
      <c r="A28" s="31">
        <v>26</v>
      </c>
      <c r="B28" s="32" t="s">
        <v>92</v>
      </c>
      <c r="C28" s="32"/>
      <c r="D28" s="32"/>
      <c r="E28" s="32"/>
      <c r="F28" s="32"/>
      <c r="G28" s="32"/>
      <c r="H28" s="32"/>
      <c r="J28">
        <f t="shared" si="0"/>
        <v>0</v>
      </c>
      <c r="K28">
        <f t="shared" si="1"/>
        <v>0</v>
      </c>
      <c r="L28">
        <f t="shared" si="2"/>
        <v>0</v>
      </c>
      <c r="M28" s="35">
        <f t="shared" si="3"/>
        <v>0</v>
      </c>
    </row>
    <row r="29" spans="1:13" x14ac:dyDescent="0.25">
      <c r="A29" s="31">
        <v>27</v>
      </c>
      <c r="B29" s="32" t="s">
        <v>60</v>
      </c>
      <c r="C29" s="32"/>
      <c r="D29" s="32"/>
      <c r="E29" s="32"/>
      <c r="F29" s="32"/>
      <c r="G29" s="32"/>
      <c r="H29" s="32"/>
      <c r="J29">
        <f t="shared" si="0"/>
        <v>0</v>
      </c>
      <c r="K29">
        <f t="shared" si="1"/>
        <v>0</v>
      </c>
      <c r="L29">
        <f t="shared" si="2"/>
        <v>0</v>
      </c>
      <c r="M29" s="35">
        <f t="shared" si="3"/>
        <v>0</v>
      </c>
    </row>
    <row r="30" spans="1:13" x14ac:dyDescent="0.25">
      <c r="A30" s="31">
        <v>28</v>
      </c>
      <c r="B30" s="32" t="s">
        <v>61</v>
      </c>
      <c r="C30" s="32"/>
      <c r="D30" s="32"/>
      <c r="E30" s="32"/>
      <c r="F30" s="32"/>
      <c r="G30" s="32"/>
      <c r="H30" s="32"/>
      <c r="J30">
        <f t="shared" si="0"/>
        <v>0</v>
      </c>
      <c r="K30">
        <f t="shared" si="1"/>
        <v>0</v>
      </c>
      <c r="L30">
        <f t="shared" si="2"/>
        <v>0</v>
      </c>
      <c r="M30" s="35">
        <f t="shared" si="3"/>
        <v>0</v>
      </c>
    </row>
    <row r="31" spans="1:13" x14ac:dyDescent="0.25">
      <c r="A31" s="31">
        <v>29</v>
      </c>
      <c r="B31" s="32" t="s">
        <v>62</v>
      </c>
      <c r="C31" s="32"/>
      <c r="D31" s="32"/>
      <c r="E31" s="32"/>
      <c r="F31" s="32"/>
      <c r="G31" s="32"/>
      <c r="H31" s="32"/>
      <c r="J31">
        <f t="shared" si="0"/>
        <v>0</v>
      </c>
      <c r="K31">
        <f t="shared" si="1"/>
        <v>0</v>
      </c>
      <c r="L31">
        <f t="shared" si="2"/>
        <v>0</v>
      </c>
      <c r="M31" s="35">
        <f t="shared" si="3"/>
        <v>0</v>
      </c>
    </row>
    <row r="32" spans="1:13" x14ac:dyDescent="0.25">
      <c r="A32" s="31">
        <v>30</v>
      </c>
      <c r="B32" s="32" t="s">
        <v>63</v>
      </c>
      <c r="C32" s="32"/>
      <c r="D32" s="32"/>
      <c r="E32" s="32"/>
      <c r="F32" s="32"/>
      <c r="G32" s="32"/>
      <c r="H32" s="32"/>
      <c r="J32">
        <f t="shared" si="0"/>
        <v>0</v>
      </c>
      <c r="K32">
        <f t="shared" si="1"/>
        <v>0</v>
      </c>
      <c r="L32">
        <f t="shared" si="2"/>
        <v>0</v>
      </c>
      <c r="M32" s="35">
        <f t="shared" si="3"/>
        <v>0</v>
      </c>
    </row>
    <row r="33" spans="1:13" x14ac:dyDescent="0.25">
      <c r="A33" s="31">
        <v>31</v>
      </c>
      <c r="B33" s="32" t="s">
        <v>64</v>
      </c>
      <c r="C33" s="32"/>
      <c r="D33" s="32"/>
      <c r="E33" s="32"/>
      <c r="F33" s="32"/>
      <c r="G33" s="32"/>
      <c r="H33" s="32"/>
      <c r="J33">
        <f t="shared" si="0"/>
        <v>0</v>
      </c>
      <c r="K33">
        <f t="shared" si="1"/>
        <v>0</v>
      </c>
      <c r="L33">
        <f t="shared" si="2"/>
        <v>0</v>
      </c>
      <c r="M33" s="35">
        <f t="shared" si="3"/>
        <v>0</v>
      </c>
    </row>
    <row r="34" spans="1:13" x14ac:dyDescent="0.25">
      <c r="A34" s="31">
        <v>32</v>
      </c>
      <c r="B34" s="32" t="s">
        <v>65</v>
      </c>
      <c r="C34" s="32"/>
      <c r="D34" s="32"/>
      <c r="E34" s="32"/>
      <c r="F34" s="32"/>
      <c r="G34" s="32"/>
      <c r="H34" s="32"/>
      <c r="J34">
        <f t="shared" si="0"/>
        <v>0</v>
      </c>
      <c r="K34">
        <f t="shared" si="1"/>
        <v>0</v>
      </c>
      <c r="L34">
        <f t="shared" si="2"/>
        <v>0</v>
      </c>
      <c r="M34" s="35">
        <f t="shared" si="3"/>
        <v>0</v>
      </c>
    </row>
    <row r="35" spans="1:13" x14ac:dyDescent="0.25">
      <c r="A35" s="31">
        <v>33</v>
      </c>
      <c r="B35" s="32" t="s">
        <v>66</v>
      </c>
      <c r="C35" s="32"/>
      <c r="D35" s="32"/>
      <c r="E35" s="32"/>
      <c r="F35" s="32"/>
      <c r="G35" s="32"/>
      <c r="H35" s="32"/>
      <c r="J35">
        <f t="shared" si="0"/>
        <v>0</v>
      </c>
      <c r="K35">
        <f t="shared" si="1"/>
        <v>0</v>
      </c>
      <c r="L35">
        <f t="shared" si="2"/>
        <v>0</v>
      </c>
      <c r="M35" s="35">
        <f t="shared" si="3"/>
        <v>0</v>
      </c>
    </row>
    <row r="36" spans="1:13" x14ac:dyDescent="0.25">
      <c r="A36" s="31">
        <v>34</v>
      </c>
      <c r="B36" s="32" t="s">
        <v>67</v>
      </c>
      <c r="C36" s="32"/>
      <c r="D36" s="32"/>
      <c r="E36" s="32"/>
      <c r="F36" s="32"/>
      <c r="G36" s="32"/>
      <c r="H36" s="32"/>
      <c r="J36">
        <f t="shared" si="0"/>
        <v>0</v>
      </c>
      <c r="K36">
        <f t="shared" si="1"/>
        <v>0</v>
      </c>
      <c r="L36">
        <f t="shared" si="2"/>
        <v>0</v>
      </c>
      <c r="M36" s="35">
        <f t="shared" si="3"/>
        <v>0</v>
      </c>
    </row>
    <row r="37" spans="1:13" x14ac:dyDescent="0.25">
      <c r="A37" s="31">
        <v>35</v>
      </c>
      <c r="B37" s="32" t="s">
        <v>68</v>
      </c>
      <c r="C37" s="32"/>
      <c r="D37" s="32"/>
      <c r="E37" s="32"/>
      <c r="F37" s="32"/>
      <c r="G37" s="32"/>
      <c r="H37" s="32"/>
      <c r="J37">
        <f t="shared" si="0"/>
        <v>0</v>
      </c>
      <c r="K37">
        <f t="shared" si="1"/>
        <v>0</v>
      </c>
      <c r="L37">
        <f t="shared" si="2"/>
        <v>0</v>
      </c>
      <c r="M37" s="35">
        <f t="shared" si="3"/>
        <v>0</v>
      </c>
    </row>
    <row r="38" spans="1:13" x14ac:dyDescent="0.25">
      <c r="A38" s="31">
        <v>36</v>
      </c>
      <c r="B38" s="32" t="s">
        <v>69</v>
      </c>
      <c r="C38" s="32"/>
      <c r="D38" s="32"/>
      <c r="E38" s="31">
        <v>1</v>
      </c>
      <c r="F38" s="32"/>
      <c r="G38" s="32"/>
      <c r="H38" s="32"/>
      <c r="J38">
        <f t="shared" si="0"/>
        <v>0</v>
      </c>
      <c r="K38">
        <f t="shared" si="1"/>
        <v>0</v>
      </c>
      <c r="L38">
        <f t="shared" si="2"/>
        <v>0</v>
      </c>
      <c r="M38" s="35">
        <f t="shared" si="3"/>
        <v>0</v>
      </c>
    </row>
    <row r="39" spans="1:13" x14ac:dyDescent="0.25">
      <c r="A39" s="31">
        <v>37</v>
      </c>
      <c r="B39" s="32" t="s">
        <v>70</v>
      </c>
      <c r="C39" s="32"/>
      <c r="D39" s="32"/>
      <c r="E39" s="32"/>
      <c r="F39" s="32"/>
      <c r="G39" s="32"/>
      <c r="H39" s="32"/>
      <c r="J39">
        <f t="shared" si="0"/>
        <v>0</v>
      </c>
      <c r="K39">
        <f t="shared" si="1"/>
        <v>0</v>
      </c>
      <c r="L39">
        <f t="shared" si="2"/>
        <v>0</v>
      </c>
      <c r="M39" s="35">
        <f t="shared" si="3"/>
        <v>0</v>
      </c>
    </row>
    <row r="40" spans="1:13" x14ac:dyDescent="0.25">
      <c r="A40" s="31">
        <v>38</v>
      </c>
      <c r="B40" s="32" t="s">
        <v>71</v>
      </c>
      <c r="C40" s="32"/>
      <c r="D40" s="32"/>
      <c r="E40" s="32"/>
      <c r="F40" s="32"/>
      <c r="G40" s="32"/>
      <c r="H40" s="32"/>
      <c r="J40">
        <f t="shared" si="0"/>
        <v>0</v>
      </c>
      <c r="K40">
        <f t="shared" si="1"/>
        <v>0</v>
      </c>
      <c r="L40">
        <f t="shared" si="2"/>
        <v>0</v>
      </c>
      <c r="M40" s="35">
        <f t="shared" si="3"/>
        <v>0</v>
      </c>
    </row>
    <row r="41" spans="1:13" x14ac:dyDescent="0.25">
      <c r="A41" s="31">
        <v>39</v>
      </c>
      <c r="B41" s="32" t="s">
        <v>76</v>
      </c>
      <c r="C41" s="32"/>
      <c r="D41" s="32"/>
      <c r="E41" s="32"/>
      <c r="F41" s="32"/>
      <c r="G41" s="32"/>
      <c r="H41" s="32"/>
      <c r="J41">
        <f t="shared" si="0"/>
        <v>0</v>
      </c>
      <c r="K41">
        <f t="shared" si="1"/>
        <v>0</v>
      </c>
      <c r="L41">
        <f t="shared" si="2"/>
        <v>0</v>
      </c>
      <c r="M41" s="35">
        <f t="shared" si="3"/>
        <v>0</v>
      </c>
    </row>
    <row r="42" spans="1:13" x14ac:dyDescent="0.25">
      <c r="A42" s="31">
        <v>40</v>
      </c>
      <c r="B42" s="32" t="s">
        <v>77</v>
      </c>
      <c r="C42" s="32"/>
      <c r="D42" s="32"/>
      <c r="E42" s="32"/>
      <c r="F42" s="32"/>
      <c r="G42" s="32"/>
      <c r="H42" s="32"/>
      <c r="J42">
        <f t="shared" si="0"/>
        <v>0</v>
      </c>
      <c r="K42">
        <f t="shared" si="1"/>
        <v>0</v>
      </c>
      <c r="L42">
        <f t="shared" si="2"/>
        <v>0</v>
      </c>
      <c r="M42" s="35">
        <f t="shared" si="3"/>
        <v>0</v>
      </c>
    </row>
    <row r="43" spans="1:13" x14ac:dyDescent="0.25">
      <c r="A43" s="31">
        <v>41</v>
      </c>
      <c r="B43" s="32" t="s">
        <v>78</v>
      </c>
      <c r="C43" s="32"/>
      <c r="D43" s="32"/>
      <c r="E43" s="32"/>
      <c r="F43" s="32"/>
      <c r="G43" s="32"/>
      <c r="H43" s="32"/>
      <c r="J43">
        <f t="shared" si="0"/>
        <v>0</v>
      </c>
      <c r="K43">
        <f t="shared" si="1"/>
        <v>0</v>
      </c>
      <c r="L43">
        <f t="shared" si="2"/>
        <v>0</v>
      </c>
      <c r="M43" s="35">
        <f t="shared" si="3"/>
        <v>0</v>
      </c>
    </row>
    <row r="44" spans="1:13" x14ac:dyDescent="0.25">
      <c r="A44" s="31">
        <v>42</v>
      </c>
      <c r="B44" s="32" t="s">
        <v>79</v>
      </c>
      <c r="C44" s="32"/>
      <c r="D44" s="32"/>
      <c r="E44" s="32"/>
      <c r="F44" s="32"/>
      <c r="G44" s="32"/>
      <c r="H44" s="32"/>
      <c r="J44">
        <f t="shared" si="0"/>
        <v>0</v>
      </c>
      <c r="K44">
        <f t="shared" si="1"/>
        <v>0</v>
      </c>
      <c r="L44">
        <f t="shared" si="2"/>
        <v>0</v>
      </c>
      <c r="M44" s="35">
        <f t="shared" si="3"/>
        <v>0</v>
      </c>
    </row>
    <row r="45" spans="1:13" x14ac:dyDescent="0.25">
      <c r="A45" s="31">
        <v>43</v>
      </c>
      <c r="B45" s="32" t="s">
        <v>80</v>
      </c>
      <c r="C45" s="32"/>
      <c r="D45" s="32"/>
      <c r="E45" s="32"/>
      <c r="F45" s="32"/>
      <c r="G45" s="32"/>
      <c r="H45" s="32"/>
      <c r="J45">
        <f t="shared" si="0"/>
        <v>0</v>
      </c>
      <c r="K45">
        <f t="shared" si="1"/>
        <v>0</v>
      </c>
      <c r="L45">
        <f t="shared" si="2"/>
        <v>0</v>
      </c>
      <c r="M45" s="35">
        <f t="shared" si="3"/>
        <v>0</v>
      </c>
    </row>
    <row r="46" spans="1:13" x14ac:dyDescent="0.25">
      <c r="A46" s="31">
        <v>44</v>
      </c>
      <c r="B46" s="32" t="s">
        <v>81</v>
      </c>
      <c r="C46" s="32"/>
      <c r="D46" s="32"/>
      <c r="E46" s="32"/>
      <c r="F46" s="32"/>
      <c r="G46" s="32"/>
      <c r="H46" s="32"/>
      <c r="J46">
        <f t="shared" si="0"/>
        <v>0</v>
      </c>
      <c r="K46">
        <f t="shared" si="1"/>
        <v>0</v>
      </c>
      <c r="L46">
        <f t="shared" si="2"/>
        <v>0</v>
      </c>
      <c r="M46" s="35">
        <f t="shared" si="3"/>
        <v>0</v>
      </c>
    </row>
    <row r="47" spans="1:13" x14ac:dyDescent="0.25">
      <c r="A47" s="31">
        <v>45</v>
      </c>
      <c r="B47" s="32" t="s">
        <v>82</v>
      </c>
      <c r="C47" s="32"/>
      <c r="D47" s="32"/>
      <c r="E47" s="32"/>
      <c r="F47" s="32"/>
      <c r="G47" s="32"/>
      <c r="H47" s="32"/>
      <c r="J47">
        <f t="shared" si="0"/>
        <v>0</v>
      </c>
      <c r="K47">
        <f t="shared" si="1"/>
        <v>0</v>
      </c>
      <c r="L47">
        <f t="shared" si="2"/>
        <v>0</v>
      </c>
      <c r="M47" s="35">
        <f t="shared" si="3"/>
        <v>0</v>
      </c>
    </row>
    <row r="48" spans="1:13" x14ac:dyDescent="0.25">
      <c r="A48" s="31">
        <v>46</v>
      </c>
      <c r="B48" s="32" t="s">
        <v>55</v>
      </c>
      <c r="C48" s="32"/>
      <c r="D48" s="32"/>
      <c r="E48" s="32"/>
      <c r="F48" s="32"/>
      <c r="G48" s="32"/>
      <c r="H48" s="32"/>
      <c r="J48">
        <f t="shared" si="0"/>
        <v>0</v>
      </c>
      <c r="K48">
        <f t="shared" si="1"/>
        <v>0</v>
      </c>
      <c r="L48">
        <f t="shared" si="2"/>
        <v>0</v>
      </c>
      <c r="M48" s="35">
        <f t="shared" si="3"/>
        <v>0</v>
      </c>
    </row>
    <row r="49" spans="1:13" x14ac:dyDescent="0.25">
      <c r="A49" s="31">
        <v>47</v>
      </c>
      <c r="B49" s="32" t="s">
        <v>83</v>
      </c>
      <c r="C49" s="32"/>
      <c r="D49" s="32"/>
      <c r="E49" s="32"/>
      <c r="F49" s="32"/>
      <c r="G49" s="32"/>
      <c r="H49" s="32"/>
      <c r="J49">
        <f t="shared" si="0"/>
        <v>0</v>
      </c>
      <c r="K49">
        <f t="shared" si="1"/>
        <v>0</v>
      </c>
      <c r="L49">
        <f t="shared" si="2"/>
        <v>0</v>
      </c>
      <c r="M49" s="35">
        <f t="shared" si="3"/>
        <v>0</v>
      </c>
    </row>
    <row r="50" spans="1:13" x14ac:dyDescent="0.25">
      <c r="A50" s="31">
        <v>48</v>
      </c>
      <c r="B50" s="32" t="s">
        <v>84</v>
      </c>
      <c r="C50" s="32"/>
      <c r="D50" s="32"/>
      <c r="E50" s="32"/>
      <c r="F50" s="32"/>
      <c r="G50" s="32"/>
      <c r="H50" s="32"/>
      <c r="J50">
        <f t="shared" si="0"/>
        <v>0</v>
      </c>
      <c r="K50">
        <f t="shared" si="1"/>
        <v>0</v>
      </c>
      <c r="L50">
        <f t="shared" si="2"/>
        <v>0</v>
      </c>
      <c r="M50" s="35">
        <f t="shared" si="3"/>
        <v>0</v>
      </c>
    </row>
    <row r="51" spans="1:13" x14ac:dyDescent="0.25">
      <c r="A51" s="31">
        <v>49</v>
      </c>
      <c r="B51" s="32" t="s">
        <v>85</v>
      </c>
      <c r="C51" s="32"/>
      <c r="D51" s="32"/>
      <c r="E51" s="32"/>
      <c r="F51" s="32"/>
      <c r="G51" s="32"/>
      <c r="H51" s="32"/>
      <c r="J51">
        <f t="shared" si="0"/>
        <v>0</v>
      </c>
      <c r="K51">
        <f t="shared" si="1"/>
        <v>0</v>
      </c>
      <c r="L51">
        <f t="shared" si="2"/>
        <v>0</v>
      </c>
      <c r="M51" s="35">
        <f t="shared" si="3"/>
        <v>0</v>
      </c>
    </row>
    <row r="52" spans="1:13" x14ac:dyDescent="0.25">
      <c r="A52" s="31">
        <v>50</v>
      </c>
      <c r="B52" s="32" t="s">
        <v>86</v>
      </c>
      <c r="C52" s="32"/>
      <c r="D52" s="32"/>
      <c r="E52" s="32"/>
      <c r="F52" s="32"/>
      <c r="G52" s="32"/>
      <c r="H52" s="32"/>
      <c r="J52">
        <f t="shared" si="0"/>
        <v>0</v>
      </c>
      <c r="K52">
        <f t="shared" si="1"/>
        <v>0</v>
      </c>
      <c r="L52">
        <f t="shared" si="2"/>
        <v>0</v>
      </c>
      <c r="M52" s="35">
        <f t="shared" si="3"/>
        <v>0</v>
      </c>
    </row>
    <row r="53" spans="1:13" x14ac:dyDescent="0.25">
      <c r="A53" s="31">
        <v>51</v>
      </c>
      <c r="B53" s="32" t="s">
        <v>87</v>
      </c>
      <c r="C53" s="32"/>
      <c r="D53" s="32"/>
      <c r="E53" s="32"/>
      <c r="F53" s="32"/>
      <c r="G53" s="32"/>
      <c r="H53" s="32"/>
      <c r="J53">
        <f t="shared" si="0"/>
        <v>0</v>
      </c>
      <c r="K53">
        <f t="shared" si="1"/>
        <v>0</v>
      </c>
      <c r="L53">
        <f t="shared" si="2"/>
        <v>0</v>
      </c>
      <c r="M53" s="35">
        <f t="shared" si="3"/>
        <v>0</v>
      </c>
    </row>
    <row r="54" spans="1:13" x14ac:dyDescent="0.25">
      <c r="A54" s="31">
        <v>52</v>
      </c>
      <c r="B54" s="32" t="s">
        <v>88</v>
      </c>
      <c r="C54" s="32"/>
      <c r="D54" s="32"/>
      <c r="E54" s="32"/>
      <c r="F54" s="32"/>
      <c r="G54" s="32"/>
      <c r="H54" s="32"/>
      <c r="J54">
        <f t="shared" si="0"/>
        <v>0</v>
      </c>
      <c r="K54">
        <f t="shared" si="1"/>
        <v>0</v>
      </c>
      <c r="L54">
        <f t="shared" si="2"/>
        <v>0</v>
      </c>
      <c r="M54" s="35">
        <f t="shared" si="3"/>
        <v>0</v>
      </c>
    </row>
    <row r="55" spans="1:13" x14ac:dyDescent="0.25">
      <c r="A55" s="31">
        <v>53</v>
      </c>
      <c r="B55" s="32" t="s">
        <v>89</v>
      </c>
      <c r="C55" s="32"/>
      <c r="D55" s="32"/>
      <c r="E55" s="32"/>
      <c r="F55" s="31">
        <v>1</v>
      </c>
      <c r="G55" s="32"/>
      <c r="H55" s="31">
        <v>2</v>
      </c>
      <c r="J55">
        <f t="shared" si="0"/>
        <v>0</v>
      </c>
      <c r="K55">
        <f t="shared" si="1"/>
        <v>35</v>
      </c>
      <c r="L55">
        <f t="shared" si="2"/>
        <v>0</v>
      </c>
      <c r="M55" s="35">
        <f t="shared" si="3"/>
        <v>35</v>
      </c>
    </row>
    <row r="56" spans="1:13" x14ac:dyDescent="0.25">
      <c r="A56" s="31">
        <v>54</v>
      </c>
      <c r="B56" s="32" t="s">
        <v>75</v>
      </c>
      <c r="C56" s="32"/>
      <c r="D56" s="32"/>
      <c r="E56" s="32"/>
      <c r="F56" s="32"/>
      <c r="G56" s="32"/>
      <c r="H56" s="32"/>
      <c r="J56">
        <f t="shared" si="0"/>
        <v>0</v>
      </c>
      <c r="K56">
        <f t="shared" si="1"/>
        <v>0</v>
      </c>
      <c r="L56">
        <f t="shared" si="2"/>
        <v>0</v>
      </c>
      <c r="M56" s="35">
        <f t="shared" si="3"/>
        <v>0</v>
      </c>
    </row>
    <row r="57" spans="1:13" x14ac:dyDescent="0.25">
      <c r="A57" s="31">
        <v>55</v>
      </c>
      <c r="B57" s="32" t="s">
        <v>74</v>
      </c>
      <c r="C57" s="32"/>
      <c r="D57" s="32"/>
      <c r="E57" s="32"/>
      <c r="F57" s="32"/>
      <c r="G57" s="32"/>
      <c r="H57" s="32"/>
      <c r="J57">
        <f t="shared" si="0"/>
        <v>0</v>
      </c>
      <c r="K57">
        <f t="shared" si="1"/>
        <v>0</v>
      </c>
      <c r="L57">
        <f t="shared" si="2"/>
        <v>0</v>
      </c>
      <c r="M57" s="35">
        <f t="shared" si="3"/>
        <v>0</v>
      </c>
    </row>
    <row r="58" spans="1:13" x14ac:dyDescent="0.25">
      <c r="A58" s="31">
        <v>56</v>
      </c>
      <c r="B58" s="32" t="s">
        <v>73</v>
      </c>
      <c r="C58" s="32"/>
      <c r="D58" s="32"/>
      <c r="E58" s="32"/>
      <c r="F58" s="32"/>
      <c r="G58" s="32"/>
      <c r="H58" s="32"/>
      <c r="J58">
        <f t="shared" si="0"/>
        <v>0</v>
      </c>
      <c r="K58">
        <f t="shared" si="1"/>
        <v>0</v>
      </c>
      <c r="L58">
        <f t="shared" si="2"/>
        <v>0</v>
      </c>
      <c r="M58" s="35">
        <f t="shared" si="3"/>
        <v>0</v>
      </c>
    </row>
    <row r="59" spans="1:13" x14ac:dyDescent="0.25">
      <c r="A59" s="31">
        <v>57</v>
      </c>
      <c r="B59" s="32" t="s">
        <v>72</v>
      </c>
      <c r="C59" s="32"/>
      <c r="D59" s="32"/>
      <c r="E59" s="32"/>
      <c r="F59" s="32"/>
      <c r="G59" s="32"/>
      <c r="H59" s="32"/>
      <c r="J59">
        <f t="shared" si="0"/>
        <v>0</v>
      </c>
      <c r="K59">
        <f t="shared" si="1"/>
        <v>0</v>
      </c>
      <c r="L59">
        <f t="shared" si="2"/>
        <v>0</v>
      </c>
      <c r="M59" s="35">
        <f t="shared" si="3"/>
        <v>0</v>
      </c>
    </row>
    <row r="60" spans="1:13" x14ac:dyDescent="0.25">
      <c r="A60" s="31">
        <v>58</v>
      </c>
      <c r="B60" s="32" t="s">
        <v>48</v>
      </c>
      <c r="C60" s="32"/>
      <c r="D60" s="32"/>
      <c r="E60" s="32"/>
      <c r="F60" s="32"/>
      <c r="G60" s="32"/>
      <c r="H60" s="32"/>
      <c r="J60">
        <f t="shared" si="0"/>
        <v>0</v>
      </c>
      <c r="K60">
        <f t="shared" si="1"/>
        <v>0</v>
      </c>
      <c r="L60">
        <f t="shared" si="2"/>
        <v>0</v>
      </c>
      <c r="M60" s="35">
        <f t="shared" si="3"/>
        <v>0</v>
      </c>
    </row>
    <row r="61" spans="1:13" x14ac:dyDescent="0.25">
      <c r="A61" s="31">
        <v>59</v>
      </c>
      <c r="B61" s="32" t="s">
        <v>90</v>
      </c>
      <c r="C61" s="32"/>
      <c r="D61" s="32"/>
      <c r="E61" s="32"/>
      <c r="F61" s="32"/>
      <c r="G61" s="32"/>
      <c r="H61" s="32"/>
      <c r="J61">
        <f t="shared" si="0"/>
        <v>0</v>
      </c>
      <c r="K61">
        <f t="shared" si="1"/>
        <v>0</v>
      </c>
      <c r="L61">
        <f t="shared" si="2"/>
        <v>0</v>
      </c>
      <c r="M61" s="35">
        <f t="shared" si="3"/>
        <v>0</v>
      </c>
    </row>
    <row r="62" spans="1:13" x14ac:dyDescent="0.25">
      <c r="A62" s="31">
        <v>60</v>
      </c>
      <c r="B62" s="32" t="s">
        <v>91</v>
      </c>
      <c r="C62" s="32"/>
      <c r="D62" s="32"/>
      <c r="E62" s="32"/>
      <c r="F62" s="32"/>
      <c r="G62" s="32"/>
      <c r="H62" s="32"/>
      <c r="J62">
        <f t="shared" si="0"/>
        <v>0</v>
      </c>
      <c r="K62">
        <f t="shared" si="1"/>
        <v>0</v>
      </c>
      <c r="L62">
        <f t="shared" si="2"/>
        <v>0</v>
      </c>
      <c r="M62" s="35">
        <f t="shared" si="3"/>
        <v>0</v>
      </c>
    </row>
    <row r="63" spans="1:13" x14ac:dyDescent="0.25">
      <c r="A63" s="30"/>
      <c r="B63" s="30"/>
      <c r="C63" s="30"/>
      <c r="D63" s="30"/>
      <c r="E63" s="30"/>
      <c r="F63" s="30"/>
      <c r="G63" s="30"/>
      <c r="H63" s="30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4" sqref="S4"/>
    </sheetView>
  </sheetViews>
  <sheetFormatPr defaultRowHeight="15" outlineLevelCol="1" x14ac:dyDescent="0.25"/>
  <cols>
    <col min="2" max="2" width="21" customWidth="1"/>
    <col min="3" max="3" width="9.140625" customWidth="1" outlineLevel="1"/>
    <col min="5" max="5" width="0" hidden="1" customWidth="1" outlineLevel="1"/>
    <col min="6" max="6" width="9.140625" collapsed="1"/>
    <col min="8" max="8" width="0" hidden="1" customWidth="1" outlineLevel="1"/>
    <col min="9" max="9" width="9.140625" collapsed="1"/>
    <col min="11" max="11" width="12.7109375" customWidth="1"/>
    <col min="12" max="12" width="10.42578125" customWidth="1"/>
    <col min="13" max="13" width="9.7109375" customWidth="1"/>
    <col min="14" max="14" width="9.140625" style="35"/>
  </cols>
  <sheetData>
    <row r="1" spans="1:19" x14ac:dyDescent="0.25">
      <c r="J1">
        <v>5</v>
      </c>
      <c r="K1">
        <v>5</v>
      </c>
      <c r="L1">
        <v>20</v>
      </c>
      <c r="M1">
        <v>50</v>
      </c>
    </row>
    <row r="2" spans="1:19" x14ac:dyDescent="0.25">
      <c r="A2" s="33" t="s">
        <v>30</v>
      </c>
      <c r="B2" s="33" t="s">
        <v>31</v>
      </c>
      <c r="C2" s="33" t="s">
        <v>32</v>
      </c>
      <c r="D2" s="33" t="s">
        <v>33</v>
      </c>
      <c r="E2" s="33" t="s">
        <v>34</v>
      </c>
      <c r="F2" s="33" t="s">
        <v>28</v>
      </c>
      <c r="G2" s="33" t="s">
        <v>29</v>
      </c>
      <c r="H2" s="33" t="s">
        <v>35</v>
      </c>
      <c r="J2" s="34" t="str">
        <f>C2</f>
        <v>Визиты</v>
      </c>
      <c r="K2" s="34" t="str">
        <f>D2</f>
        <v>Еф визиты</v>
      </c>
      <c r="L2" s="34" t="str">
        <f>F2</f>
        <v>Задания</v>
      </c>
      <c r="M2" s="34" t="str">
        <f>G2</f>
        <v>Заказы</v>
      </c>
      <c r="N2" s="36" t="s">
        <v>93</v>
      </c>
    </row>
    <row r="3" spans="1:19" x14ac:dyDescent="0.25">
      <c r="A3" s="31">
        <v>4</v>
      </c>
      <c r="B3" s="32" t="s">
        <v>37</v>
      </c>
      <c r="C3" s="31">
        <v>377</v>
      </c>
      <c r="D3" s="31">
        <v>155</v>
      </c>
      <c r="E3" s="31">
        <v>148</v>
      </c>
      <c r="F3" s="31">
        <v>28</v>
      </c>
      <c r="G3" s="31">
        <v>22</v>
      </c>
      <c r="H3" s="31">
        <v>96</v>
      </c>
      <c r="J3">
        <f>C3*$J$1</f>
        <v>1885</v>
      </c>
      <c r="K3">
        <f>D3*$K$1</f>
        <v>775</v>
      </c>
      <c r="L3">
        <f>F3*$L$1</f>
        <v>560</v>
      </c>
      <c r="M3">
        <f>G3*$M$1</f>
        <v>1100</v>
      </c>
      <c r="N3" s="35">
        <f>SUM(J3:M3)</f>
        <v>4320</v>
      </c>
    </row>
    <row r="4" spans="1:19" x14ac:dyDescent="0.25">
      <c r="A4" s="31">
        <v>10</v>
      </c>
      <c r="B4" s="32" t="s">
        <v>43</v>
      </c>
      <c r="C4" s="31">
        <v>268</v>
      </c>
      <c r="D4" s="31">
        <v>151</v>
      </c>
      <c r="E4" s="31">
        <v>185</v>
      </c>
      <c r="F4" s="31">
        <v>1</v>
      </c>
      <c r="G4" s="31">
        <v>2</v>
      </c>
      <c r="H4" s="31">
        <v>38</v>
      </c>
      <c r="J4">
        <f t="shared" ref="J4:J62" si="0">C4*$J$1</f>
        <v>1340</v>
      </c>
      <c r="K4">
        <f t="shared" ref="K4:K62" si="1">D4*$K$1</f>
        <v>755</v>
      </c>
      <c r="L4">
        <f t="shared" ref="L4:L62" si="2">F4*$L$1</f>
        <v>20</v>
      </c>
      <c r="M4">
        <f t="shared" ref="M4:M62" si="3">G4*$M$1</f>
        <v>100</v>
      </c>
      <c r="N4" s="35">
        <f t="shared" ref="N4:N62" si="4">SUM(J4:M4)</f>
        <v>2215</v>
      </c>
      <c r="Q4">
        <v>50</v>
      </c>
      <c r="S4">
        <f>1000/50</f>
        <v>20</v>
      </c>
    </row>
    <row r="5" spans="1:19" x14ac:dyDescent="0.25">
      <c r="A5" s="31">
        <v>2</v>
      </c>
      <c r="B5" s="32" t="s">
        <v>44</v>
      </c>
      <c r="C5" s="31">
        <v>435</v>
      </c>
      <c r="D5" s="31">
        <v>121</v>
      </c>
      <c r="E5" s="31">
        <v>398</v>
      </c>
      <c r="F5" s="31">
        <v>2</v>
      </c>
      <c r="G5" s="32"/>
      <c r="H5" s="31">
        <v>37</v>
      </c>
      <c r="J5">
        <f t="shared" si="0"/>
        <v>2175</v>
      </c>
      <c r="K5">
        <f t="shared" si="1"/>
        <v>605</v>
      </c>
      <c r="L5">
        <f t="shared" si="2"/>
        <v>40</v>
      </c>
      <c r="M5">
        <f t="shared" si="3"/>
        <v>0</v>
      </c>
      <c r="N5" s="35">
        <f t="shared" si="4"/>
        <v>2820</v>
      </c>
    </row>
    <row r="6" spans="1:19" x14ac:dyDescent="0.25">
      <c r="A6" s="31">
        <v>8</v>
      </c>
      <c r="B6" s="32" t="s">
        <v>47</v>
      </c>
      <c r="C6" s="31">
        <v>289</v>
      </c>
      <c r="D6" s="31">
        <v>105</v>
      </c>
      <c r="E6" s="31">
        <v>119</v>
      </c>
      <c r="F6" s="31">
        <v>4</v>
      </c>
      <c r="G6" s="31">
        <v>2</v>
      </c>
      <c r="H6" s="31">
        <v>47</v>
      </c>
      <c r="J6">
        <f t="shared" si="0"/>
        <v>1445</v>
      </c>
      <c r="K6">
        <f t="shared" si="1"/>
        <v>525</v>
      </c>
      <c r="L6">
        <f t="shared" si="2"/>
        <v>80</v>
      </c>
      <c r="M6">
        <f t="shared" si="3"/>
        <v>100</v>
      </c>
      <c r="N6" s="35">
        <f t="shared" si="4"/>
        <v>2150</v>
      </c>
      <c r="Q6">
        <v>25</v>
      </c>
      <c r="S6">
        <f>S4/2</f>
        <v>10</v>
      </c>
    </row>
    <row r="7" spans="1:19" x14ac:dyDescent="0.25">
      <c r="A7" s="31">
        <v>9</v>
      </c>
      <c r="B7" s="32" t="s">
        <v>39</v>
      </c>
      <c r="C7" s="31">
        <v>285</v>
      </c>
      <c r="D7" s="31">
        <v>101</v>
      </c>
      <c r="E7" s="31">
        <v>130</v>
      </c>
      <c r="F7" s="31">
        <v>20</v>
      </c>
      <c r="G7" s="31">
        <v>17</v>
      </c>
      <c r="H7" s="31">
        <v>147</v>
      </c>
      <c r="J7">
        <f t="shared" si="0"/>
        <v>1425</v>
      </c>
      <c r="K7">
        <f t="shared" si="1"/>
        <v>505</v>
      </c>
      <c r="L7">
        <f t="shared" si="2"/>
        <v>400</v>
      </c>
      <c r="M7">
        <f t="shared" si="3"/>
        <v>850</v>
      </c>
      <c r="N7" s="35">
        <f t="shared" si="4"/>
        <v>3180</v>
      </c>
    </row>
    <row r="8" spans="1:19" x14ac:dyDescent="0.25">
      <c r="A8" s="31">
        <v>3</v>
      </c>
      <c r="B8" s="32" t="s">
        <v>38</v>
      </c>
      <c r="C8" s="31">
        <v>430</v>
      </c>
      <c r="D8" s="31">
        <v>99</v>
      </c>
      <c r="E8" s="31">
        <v>336</v>
      </c>
      <c r="F8" s="31">
        <v>10</v>
      </c>
      <c r="G8" s="31">
        <v>3</v>
      </c>
      <c r="H8" s="31">
        <v>106</v>
      </c>
      <c r="J8">
        <f t="shared" si="0"/>
        <v>2150</v>
      </c>
      <c r="K8">
        <f t="shared" si="1"/>
        <v>495</v>
      </c>
      <c r="L8">
        <f t="shared" si="2"/>
        <v>200</v>
      </c>
      <c r="M8">
        <f t="shared" si="3"/>
        <v>150</v>
      </c>
      <c r="N8" s="35">
        <f t="shared" si="4"/>
        <v>2995</v>
      </c>
    </row>
    <row r="9" spans="1:19" x14ac:dyDescent="0.25">
      <c r="A9" s="31">
        <v>7</v>
      </c>
      <c r="B9" s="32" t="s">
        <v>40</v>
      </c>
      <c r="C9" s="31">
        <v>306</v>
      </c>
      <c r="D9" s="31">
        <v>98</v>
      </c>
      <c r="E9" s="31">
        <v>268</v>
      </c>
      <c r="F9" s="31">
        <v>4</v>
      </c>
      <c r="G9" s="31">
        <v>1</v>
      </c>
      <c r="H9" s="31">
        <v>71</v>
      </c>
      <c r="J9">
        <f t="shared" si="0"/>
        <v>1530</v>
      </c>
      <c r="K9">
        <f t="shared" si="1"/>
        <v>490</v>
      </c>
      <c r="L9">
        <f t="shared" si="2"/>
        <v>80</v>
      </c>
      <c r="M9">
        <f t="shared" si="3"/>
        <v>50</v>
      </c>
      <c r="N9" s="35">
        <f t="shared" si="4"/>
        <v>2150</v>
      </c>
      <c r="Q9">
        <v>5</v>
      </c>
      <c r="S9">
        <f>0.4*0.5*0.7</f>
        <v>0.13999999999999999</v>
      </c>
    </row>
    <row r="10" spans="1:19" x14ac:dyDescent="0.25">
      <c r="A10" s="31">
        <v>1</v>
      </c>
      <c r="B10" s="32" t="s">
        <v>13</v>
      </c>
      <c r="C10" s="31">
        <v>521</v>
      </c>
      <c r="D10" s="31">
        <v>91</v>
      </c>
      <c r="E10" s="31">
        <v>388</v>
      </c>
      <c r="F10" s="31">
        <v>2</v>
      </c>
      <c r="G10" s="31">
        <v>1</v>
      </c>
      <c r="H10" s="31">
        <v>172</v>
      </c>
      <c r="J10">
        <f t="shared" si="0"/>
        <v>2605</v>
      </c>
      <c r="K10">
        <f t="shared" si="1"/>
        <v>455</v>
      </c>
      <c r="L10">
        <f t="shared" si="2"/>
        <v>40</v>
      </c>
      <c r="M10">
        <f t="shared" si="3"/>
        <v>50</v>
      </c>
      <c r="N10" s="35">
        <f t="shared" si="4"/>
        <v>3150</v>
      </c>
      <c r="S10">
        <f>1000*S9</f>
        <v>139.99999999999997</v>
      </c>
    </row>
    <row r="11" spans="1:19" x14ac:dyDescent="0.25">
      <c r="A11" s="31">
        <v>6</v>
      </c>
      <c r="B11" s="32" t="s">
        <v>12</v>
      </c>
      <c r="C11" s="31">
        <v>330</v>
      </c>
      <c r="D11" s="31">
        <v>86</v>
      </c>
      <c r="E11" s="31">
        <v>174</v>
      </c>
      <c r="F11" s="31">
        <v>22</v>
      </c>
      <c r="G11" s="31">
        <v>8</v>
      </c>
      <c r="H11" s="31">
        <v>69</v>
      </c>
      <c r="J11">
        <f t="shared" si="0"/>
        <v>1650</v>
      </c>
      <c r="K11">
        <f t="shared" si="1"/>
        <v>430</v>
      </c>
      <c r="L11">
        <f t="shared" si="2"/>
        <v>440</v>
      </c>
      <c r="M11">
        <f t="shared" si="3"/>
        <v>400</v>
      </c>
      <c r="N11" s="35">
        <f t="shared" si="4"/>
        <v>2920</v>
      </c>
    </row>
    <row r="12" spans="1:19" x14ac:dyDescent="0.25">
      <c r="A12" s="31">
        <v>11</v>
      </c>
      <c r="B12" s="32" t="s">
        <v>41</v>
      </c>
      <c r="C12" s="31">
        <v>265</v>
      </c>
      <c r="D12" s="31">
        <v>81</v>
      </c>
      <c r="E12" s="31">
        <v>156</v>
      </c>
      <c r="F12" s="31">
        <v>10</v>
      </c>
      <c r="G12" s="31">
        <v>4</v>
      </c>
      <c r="H12" s="31">
        <v>142</v>
      </c>
      <c r="J12">
        <f t="shared" si="0"/>
        <v>1325</v>
      </c>
      <c r="K12">
        <f t="shared" si="1"/>
        <v>405</v>
      </c>
      <c r="L12">
        <f t="shared" si="2"/>
        <v>200</v>
      </c>
      <c r="M12">
        <f t="shared" si="3"/>
        <v>200</v>
      </c>
      <c r="N12" s="35">
        <f t="shared" si="4"/>
        <v>2130</v>
      </c>
      <c r="S12">
        <f>S10/Q9</f>
        <v>27.999999999999993</v>
      </c>
    </row>
    <row r="13" spans="1:19" x14ac:dyDescent="0.25">
      <c r="A13" s="31">
        <v>16</v>
      </c>
      <c r="B13" s="32" t="s">
        <v>18</v>
      </c>
      <c r="C13" s="31">
        <v>143</v>
      </c>
      <c r="D13" s="31">
        <v>65</v>
      </c>
      <c r="E13" s="31">
        <v>104</v>
      </c>
      <c r="F13" s="31">
        <v>8</v>
      </c>
      <c r="G13" s="31">
        <v>4</v>
      </c>
      <c r="H13" s="31">
        <v>55</v>
      </c>
      <c r="J13">
        <f t="shared" si="0"/>
        <v>715</v>
      </c>
      <c r="K13">
        <f t="shared" si="1"/>
        <v>325</v>
      </c>
      <c r="L13">
        <f t="shared" si="2"/>
        <v>160</v>
      </c>
      <c r="M13">
        <f t="shared" si="3"/>
        <v>200</v>
      </c>
      <c r="N13" s="35">
        <f t="shared" si="4"/>
        <v>1400</v>
      </c>
    </row>
    <row r="14" spans="1:19" x14ac:dyDescent="0.25">
      <c r="A14" s="31">
        <v>14</v>
      </c>
      <c r="B14" s="32" t="s">
        <v>46</v>
      </c>
      <c r="C14" s="31">
        <v>193</v>
      </c>
      <c r="D14" s="31">
        <v>61</v>
      </c>
      <c r="E14" s="31">
        <v>63</v>
      </c>
      <c r="F14" s="31">
        <v>22</v>
      </c>
      <c r="G14" s="31">
        <v>13</v>
      </c>
      <c r="H14" s="31">
        <v>4</v>
      </c>
      <c r="J14">
        <f t="shared" si="0"/>
        <v>965</v>
      </c>
      <c r="K14">
        <f t="shared" si="1"/>
        <v>305</v>
      </c>
      <c r="L14">
        <f t="shared" si="2"/>
        <v>440</v>
      </c>
      <c r="M14">
        <f t="shared" si="3"/>
        <v>650</v>
      </c>
      <c r="N14" s="35">
        <f t="shared" si="4"/>
        <v>2360</v>
      </c>
      <c r="S14">
        <f>S12/Q6</f>
        <v>1.1199999999999997</v>
      </c>
    </row>
    <row r="15" spans="1:19" x14ac:dyDescent="0.25">
      <c r="A15" s="31">
        <v>13</v>
      </c>
      <c r="B15" s="32" t="s">
        <v>42</v>
      </c>
      <c r="C15" s="31">
        <v>214</v>
      </c>
      <c r="D15" s="31">
        <v>60</v>
      </c>
      <c r="E15" s="31">
        <v>62</v>
      </c>
      <c r="F15" s="31">
        <v>11</v>
      </c>
      <c r="G15" s="31">
        <v>10</v>
      </c>
      <c r="H15" s="31">
        <v>141</v>
      </c>
      <c r="J15">
        <f t="shared" si="0"/>
        <v>1070</v>
      </c>
      <c r="K15">
        <f t="shared" si="1"/>
        <v>300</v>
      </c>
      <c r="L15">
        <f t="shared" si="2"/>
        <v>220</v>
      </c>
      <c r="M15">
        <f t="shared" si="3"/>
        <v>500</v>
      </c>
      <c r="N15" s="35">
        <f t="shared" si="4"/>
        <v>2090</v>
      </c>
    </row>
    <row r="16" spans="1:19" x14ac:dyDescent="0.25">
      <c r="A16" s="31">
        <v>17</v>
      </c>
      <c r="B16" s="32" t="s">
        <v>50</v>
      </c>
      <c r="C16" s="31">
        <v>128</v>
      </c>
      <c r="D16" s="31">
        <v>49</v>
      </c>
      <c r="E16" s="31">
        <v>60</v>
      </c>
      <c r="F16" s="32"/>
      <c r="G16" s="32"/>
      <c r="H16" s="31">
        <v>69</v>
      </c>
      <c r="J16">
        <f t="shared" si="0"/>
        <v>640</v>
      </c>
      <c r="K16">
        <f t="shared" si="1"/>
        <v>245</v>
      </c>
      <c r="L16">
        <f t="shared" si="2"/>
        <v>0</v>
      </c>
      <c r="M16">
        <f t="shared" si="3"/>
        <v>0</v>
      </c>
      <c r="N16" s="35">
        <f t="shared" si="4"/>
        <v>885</v>
      </c>
    </row>
    <row r="17" spans="1:17" x14ac:dyDescent="0.25">
      <c r="A17" s="31">
        <v>5</v>
      </c>
      <c r="B17" s="32" t="s">
        <v>36</v>
      </c>
      <c r="C17" s="31">
        <v>370</v>
      </c>
      <c r="D17" s="31">
        <v>43</v>
      </c>
      <c r="E17" s="31">
        <v>210</v>
      </c>
      <c r="F17" s="32"/>
      <c r="G17" s="31">
        <v>2</v>
      </c>
      <c r="H17" s="31">
        <v>182</v>
      </c>
      <c r="J17">
        <f t="shared" si="0"/>
        <v>1850</v>
      </c>
      <c r="K17">
        <f t="shared" si="1"/>
        <v>215</v>
      </c>
      <c r="L17">
        <f t="shared" si="2"/>
        <v>0</v>
      </c>
      <c r="M17">
        <f t="shared" si="3"/>
        <v>100</v>
      </c>
      <c r="N17" s="35">
        <f t="shared" si="4"/>
        <v>2165</v>
      </c>
      <c r="Q17">
        <f>30*4*3</f>
        <v>360</v>
      </c>
    </row>
    <row r="18" spans="1:17" x14ac:dyDescent="0.25">
      <c r="A18" s="31">
        <v>15</v>
      </c>
      <c r="B18" s="32" t="s">
        <v>49</v>
      </c>
      <c r="C18" s="31">
        <v>178</v>
      </c>
      <c r="D18" s="31">
        <v>21</v>
      </c>
      <c r="E18" s="31">
        <v>108</v>
      </c>
      <c r="F18" s="31">
        <v>1</v>
      </c>
      <c r="G18" s="32"/>
      <c r="H18" s="31">
        <v>2</v>
      </c>
      <c r="J18">
        <f t="shared" si="0"/>
        <v>890</v>
      </c>
      <c r="K18">
        <f t="shared" si="1"/>
        <v>105</v>
      </c>
      <c r="L18">
        <f t="shared" si="2"/>
        <v>20</v>
      </c>
      <c r="M18">
        <f t="shared" si="3"/>
        <v>0</v>
      </c>
      <c r="N18" s="35">
        <f t="shared" si="4"/>
        <v>1015</v>
      </c>
    </row>
    <row r="19" spans="1:17" x14ac:dyDescent="0.25">
      <c r="A19" s="31">
        <v>18</v>
      </c>
      <c r="B19" s="32" t="s">
        <v>51</v>
      </c>
      <c r="C19" s="31">
        <v>107</v>
      </c>
      <c r="D19" s="31">
        <v>20</v>
      </c>
      <c r="E19" s="31">
        <v>22</v>
      </c>
      <c r="F19" s="31">
        <v>3</v>
      </c>
      <c r="G19" s="32"/>
      <c r="H19" s="31">
        <v>87</v>
      </c>
      <c r="J19">
        <f t="shared" si="0"/>
        <v>535</v>
      </c>
      <c r="K19">
        <f t="shared" si="1"/>
        <v>100</v>
      </c>
      <c r="L19">
        <f t="shared" si="2"/>
        <v>60</v>
      </c>
      <c r="M19">
        <f t="shared" si="3"/>
        <v>0</v>
      </c>
      <c r="N19" s="35">
        <f t="shared" si="4"/>
        <v>695</v>
      </c>
    </row>
    <row r="20" spans="1:17" x14ac:dyDescent="0.25">
      <c r="A20" s="31">
        <v>12</v>
      </c>
      <c r="B20" s="32" t="s">
        <v>45</v>
      </c>
      <c r="C20" s="31">
        <v>223</v>
      </c>
      <c r="D20" s="31">
        <v>10</v>
      </c>
      <c r="E20" s="31">
        <v>208</v>
      </c>
      <c r="F20" s="31">
        <v>8</v>
      </c>
      <c r="G20" s="31">
        <v>1</v>
      </c>
      <c r="H20" s="31">
        <v>198</v>
      </c>
      <c r="J20">
        <f t="shared" si="0"/>
        <v>1115</v>
      </c>
      <c r="K20">
        <f t="shared" si="1"/>
        <v>50</v>
      </c>
      <c r="L20">
        <f t="shared" si="2"/>
        <v>160</v>
      </c>
      <c r="M20">
        <f t="shared" si="3"/>
        <v>50</v>
      </c>
      <c r="N20" s="35">
        <f t="shared" si="4"/>
        <v>1375</v>
      </c>
    </row>
    <row r="21" spans="1:17" x14ac:dyDescent="0.25">
      <c r="A21" s="31">
        <v>19</v>
      </c>
      <c r="B21" s="32" t="s">
        <v>53</v>
      </c>
      <c r="C21" s="31">
        <v>2</v>
      </c>
      <c r="D21" s="31">
        <v>2</v>
      </c>
      <c r="E21" s="32"/>
      <c r="F21" s="31">
        <v>1</v>
      </c>
      <c r="G21" s="32"/>
      <c r="H21" s="32"/>
      <c r="J21">
        <f t="shared" si="0"/>
        <v>10</v>
      </c>
      <c r="K21">
        <f t="shared" si="1"/>
        <v>10</v>
      </c>
      <c r="L21">
        <f t="shared" si="2"/>
        <v>20</v>
      </c>
      <c r="M21">
        <f t="shared" si="3"/>
        <v>0</v>
      </c>
      <c r="N21" s="35">
        <f t="shared" si="4"/>
        <v>40</v>
      </c>
    </row>
    <row r="22" spans="1:17" x14ac:dyDescent="0.25">
      <c r="A22" s="31">
        <v>20</v>
      </c>
      <c r="B22" s="32" t="s">
        <v>57</v>
      </c>
      <c r="C22" s="32"/>
      <c r="D22" s="32"/>
      <c r="E22" s="32"/>
      <c r="F22" s="32"/>
      <c r="G22" s="32"/>
      <c r="H22" s="32"/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  <c r="N22" s="35">
        <f t="shared" si="4"/>
        <v>0</v>
      </c>
    </row>
    <row r="23" spans="1:17" x14ac:dyDescent="0.25">
      <c r="A23" s="31">
        <v>21</v>
      </c>
      <c r="B23" s="32" t="s">
        <v>56</v>
      </c>
      <c r="C23" s="32"/>
      <c r="D23" s="32"/>
      <c r="E23" s="32"/>
      <c r="F23" s="32"/>
      <c r="G23" s="32"/>
      <c r="H23" s="32"/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  <c r="N23" s="35">
        <f t="shared" si="4"/>
        <v>0</v>
      </c>
    </row>
    <row r="24" spans="1:17" x14ac:dyDescent="0.25">
      <c r="A24" s="31">
        <v>22</v>
      </c>
      <c r="B24" s="32" t="s">
        <v>58</v>
      </c>
      <c r="C24" s="32"/>
      <c r="D24" s="32"/>
      <c r="E24" s="32"/>
      <c r="F24" s="32"/>
      <c r="G24" s="32"/>
      <c r="H24" s="32"/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  <c r="N24" s="35">
        <f t="shared" si="4"/>
        <v>0</v>
      </c>
    </row>
    <row r="25" spans="1:17" x14ac:dyDescent="0.25">
      <c r="A25" s="31">
        <v>23</v>
      </c>
      <c r="B25" s="32" t="s">
        <v>54</v>
      </c>
      <c r="C25" s="32"/>
      <c r="D25" s="32"/>
      <c r="E25" s="32"/>
      <c r="F25" s="31">
        <v>1</v>
      </c>
      <c r="G25" s="32"/>
      <c r="H25" s="31">
        <v>1</v>
      </c>
      <c r="J25">
        <f t="shared" si="0"/>
        <v>0</v>
      </c>
      <c r="K25">
        <f t="shared" si="1"/>
        <v>0</v>
      </c>
      <c r="L25">
        <f t="shared" si="2"/>
        <v>20</v>
      </c>
      <c r="M25">
        <f t="shared" si="3"/>
        <v>0</v>
      </c>
      <c r="N25" s="35">
        <f t="shared" si="4"/>
        <v>20</v>
      </c>
    </row>
    <row r="26" spans="1:17" x14ac:dyDescent="0.25">
      <c r="A26" s="31">
        <v>24</v>
      </c>
      <c r="B26" s="32" t="s">
        <v>52</v>
      </c>
      <c r="C26" s="32"/>
      <c r="D26" s="32"/>
      <c r="E26" s="32"/>
      <c r="F26" s="32"/>
      <c r="G26" s="32"/>
      <c r="H26" s="32"/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  <c r="N26" s="35">
        <f t="shared" si="4"/>
        <v>0</v>
      </c>
    </row>
    <row r="27" spans="1:17" x14ac:dyDescent="0.25">
      <c r="A27" s="31">
        <v>25</v>
      </c>
      <c r="B27" s="32" t="s">
        <v>59</v>
      </c>
      <c r="C27" s="32"/>
      <c r="D27" s="32"/>
      <c r="E27" s="32"/>
      <c r="F27" s="32"/>
      <c r="G27" s="32"/>
      <c r="H27" s="32"/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 s="35">
        <f t="shared" si="4"/>
        <v>0</v>
      </c>
    </row>
    <row r="28" spans="1:17" x14ac:dyDescent="0.25">
      <c r="A28" s="31">
        <v>26</v>
      </c>
      <c r="B28" s="32" t="s">
        <v>92</v>
      </c>
      <c r="C28" s="32"/>
      <c r="D28" s="32"/>
      <c r="E28" s="32"/>
      <c r="F28" s="32"/>
      <c r="G28" s="32"/>
      <c r="H28" s="32"/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  <c r="N28" s="35">
        <f t="shared" si="4"/>
        <v>0</v>
      </c>
    </row>
    <row r="29" spans="1:17" x14ac:dyDescent="0.25">
      <c r="A29" s="31">
        <v>27</v>
      </c>
      <c r="B29" s="32" t="s">
        <v>60</v>
      </c>
      <c r="C29" s="32"/>
      <c r="D29" s="32"/>
      <c r="E29" s="32"/>
      <c r="F29" s="32"/>
      <c r="G29" s="32"/>
      <c r="H29" s="32"/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  <c r="N29" s="35">
        <f t="shared" si="4"/>
        <v>0</v>
      </c>
    </row>
    <row r="30" spans="1:17" x14ac:dyDescent="0.25">
      <c r="A30" s="31">
        <v>28</v>
      </c>
      <c r="B30" s="32" t="s">
        <v>61</v>
      </c>
      <c r="C30" s="32"/>
      <c r="D30" s="32"/>
      <c r="E30" s="32"/>
      <c r="F30" s="32"/>
      <c r="G30" s="32"/>
      <c r="H30" s="32"/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  <c r="N30" s="35">
        <f t="shared" si="4"/>
        <v>0</v>
      </c>
    </row>
    <row r="31" spans="1:17" x14ac:dyDescent="0.25">
      <c r="A31" s="31">
        <v>29</v>
      </c>
      <c r="B31" s="32" t="s">
        <v>62</v>
      </c>
      <c r="C31" s="32"/>
      <c r="D31" s="32"/>
      <c r="E31" s="32"/>
      <c r="F31" s="32"/>
      <c r="G31" s="32"/>
      <c r="H31" s="32"/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  <c r="N31" s="35">
        <f t="shared" si="4"/>
        <v>0</v>
      </c>
    </row>
    <row r="32" spans="1:17" x14ac:dyDescent="0.25">
      <c r="A32" s="31">
        <v>30</v>
      </c>
      <c r="B32" s="32" t="s">
        <v>63</v>
      </c>
      <c r="C32" s="32"/>
      <c r="D32" s="32"/>
      <c r="E32" s="32"/>
      <c r="F32" s="32"/>
      <c r="G32" s="32"/>
      <c r="H32" s="32"/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  <c r="N32" s="35">
        <f t="shared" si="4"/>
        <v>0</v>
      </c>
    </row>
    <row r="33" spans="1:14" x14ac:dyDescent="0.25">
      <c r="A33" s="31">
        <v>31</v>
      </c>
      <c r="B33" s="32" t="s">
        <v>64</v>
      </c>
      <c r="C33" s="32"/>
      <c r="D33" s="32"/>
      <c r="E33" s="32"/>
      <c r="F33" s="32"/>
      <c r="G33" s="32"/>
      <c r="H33" s="32"/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  <c r="N33" s="35">
        <f t="shared" si="4"/>
        <v>0</v>
      </c>
    </row>
    <row r="34" spans="1:14" x14ac:dyDescent="0.25">
      <c r="A34" s="31">
        <v>32</v>
      </c>
      <c r="B34" s="32" t="s">
        <v>65</v>
      </c>
      <c r="C34" s="32"/>
      <c r="D34" s="32"/>
      <c r="E34" s="32"/>
      <c r="F34" s="32"/>
      <c r="G34" s="32"/>
      <c r="H34" s="32"/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  <c r="N34" s="35">
        <f t="shared" si="4"/>
        <v>0</v>
      </c>
    </row>
    <row r="35" spans="1:14" x14ac:dyDescent="0.25">
      <c r="A35" s="31">
        <v>33</v>
      </c>
      <c r="B35" s="32" t="s">
        <v>66</v>
      </c>
      <c r="C35" s="32"/>
      <c r="D35" s="32"/>
      <c r="E35" s="32"/>
      <c r="F35" s="32"/>
      <c r="G35" s="32"/>
      <c r="H35" s="32"/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  <c r="N35" s="35">
        <f t="shared" si="4"/>
        <v>0</v>
      </c>
    </row>
    <row r="36" spans="1:14" x14ac:dyDescent="0.25">
      <c r="A36" s="31">
        <v>34</v>
      </c>
      <c r="B36" s="32" t="s">
        <v>67</v>
      </c>
      <c r="C36" s="32"/>
      <c r="D36" s="32"/>
      <c r="E36" s="32"/>
      <c r="F36" s="32"/>
      <c r="G36" s="32"/>
      <c r="H36" s="32"/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  <c r="N36" s="35">
        <f t="shared" si="4"/>
        <v>0</v>
      </c>
    </row>
    <row r="37" spans="1:14" x14ac:dyDescent="0.25">
      <c r="A37" s="31">
        <v>35</v>
      </c>
      <c r="B37" s="32" t="s">
        <v>68</v>
      </c>
      <c r="C37" s="32"/>
      <c r="D37" s="32"/>
      <c r="E37" s="32"/>
      <c r="F37" s="32"/>
      <c r="G37" s="32"/>
      <c r="H37" s="32"/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  <c r="N37" s="35">
        <f t="shared" si="4"/>
        <v>0</v>
      </c>
    </row>
    <row r="38" spans="1:14" x14ac:dyDescent="0.25">
      <c r="A38" s="31">
        <v>36</v>
      </c>
      <c r="B38" s="32" t="s">
        <v>69</v>
      </c>
      <c r="C38" s="32"/>
      <c r="D38" s="32"/>
      <c r="E38" s="31">
        <v>1</v>
      </c>
      <c r="F38" s="32"/>
      <c r="G38" s="32"/>
      <c r="H38" s="32"/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0</v>
      </c>
      <c r="N38" s="35">
        <f t="shared" si="4"/>
        <v>0</v>
      </c>
    </row>
    <row r="39" spans="1:14" x14ac:dyDescent="0.25">
      <c r="A39" s="31">
        <v>37</v>
      </c>
      <c r="B39" s="32" t="s">
        <v>70</v>
      </c>
      <c r="C39" s="32"/>
      <c r="D39" s="32"/>
      <c r="E39" s="32"/>
      <c r="F39" s="32"/>
      <c r="G39" s="32"/>
      <c r="H39" s="32"/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  <c r="N39" s="35">
        <f t="shared" si="4"/>
        <v>0</v>
      </c>
    </row>
    <row r="40" spans="1:14" x14ac:dyDescent="0.25">
      <c r="A40" s="31">
        <v>38</v>
      </c>
      <c r="B40" s="32" t="s">
        <v>71</v>
      </c>
      <c r="C40" s="32"/>
      <c r="D40" s="32"/>
      <c r="E40" s="32"/>
      <c r="F40" s="32"/>
      <c r="G40" s="32"/>
      <c r="H40" s="32"/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  <c r="N40" s="35">
        <f t="shared" si="4"/>
        <v>0</v>
      </c>
    </row>
    <row r="41" spans="1:14" x14ac:dyDescent="0.25">
      <c r="A41" s="31">
        <v>39</v>
      </c>
      <c r="B41" s="32" t="s">
        <v>76</v>
      </c>
      <c r="C41" s="32"/>
      <c r="D41" s="32"/>
      <c r="E41" s="32"/>
      <c r="F41" s="32"/>
      <c r="G41" s="32"/>
      <c r="H41" s="32"/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  <c r="N41" s="35">
        <f t="shared" si="4"/>
        <v>0</v>
      </c>
    </row>
    <row r="42" spans="1:14" x14ac:dyDescent="0.25">
      <c r="A42" s="31">
        <v>40</v>
      </c>
      <c r="B42" s="32" t="s">
        <v>77</v>
      </c>
      <c r="C42" s="32"/>
      <c r="D42" s="32"/>
      <c r="E42" s="32"/>
      <c r="F42" s="32"/>
      <c r="G42" s="32"/>
      <c r="H42" s="32"/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  <c r="N42" s="35">
        <f t="shared" si="4"/>
        <v>0</v>
      </c>
    </row>
    <row r="43" spans="1:14" x14ac:dyDescent="0.25">
      <c r="A43" s="31">
        <v>41</v>
      </c>
      <c r="B43" s="32" t="s">
        <v>78</v>
      </c>
      <c r="C43" s="32"/>
      <c r="D43" s="32"/>
      <c r="E43" s="32"/>
      <c r="F43" s="32"/>
      <c r="G43" s="32"/>
      <c r="H43" s="32"/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  <c r="N43" s="35">
        <f t="shared" si="4"/>
        <v>0</v>
      </c>
    </row>
    <row r="44" spans="1:14" x14ac:dyDescent="0.25">
      <c r="A44" s="31">
        <v>42</v>
      </c>
      <c r="B44" s="32" t="s">
        <v>79</v>
      </c>
      <c r="C44" s="32"/>
      <c r="D44" s="32"/>
      <c r="E44" s="32"/>
      <c r="F44" s="32"/>
      <c r="G44" s="32"/>
      <c r="H44" s="32"/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  <c r="N44" s="35">
        <f t="shared" si="4"/>
        <v>0</v>
      </c>
    </row>
    <row r="45" spans="1:14" x14ac:dyDescent="0.25">
      <c r="A45" s="31">
        <v>43</v>
      </c>
      <c r="B45" s="32" t="s">
        <v>80</v>
      </c>
      <c r="C45" s="32"/>
      <c r="D45" s="32"/>
      <c r="E45" s="32"/>
      <c r="F45" s="32"/>
      <c r="G45" s="32"/>
      <c r="H45" s="32"/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  <c r="N45" s="35">
        <f t="shared" si="4"/>
        <v>0</v>
      </c>
    </row>
    <row r="46" spans="1:14" x14ac:dyDescent="0.25">
      <c r="A46" s="31">
        <v>44</v>
      </c>
      <c r="B46" s="32" t="s">
        <v>81</v>
      </c>
      <c r="C46" s="32"/>
      <c r="D46" s="32"/>
      <c r="E46" s="32"/>
      <c r="F46" s="32"/>
      <c r="G46" s="32"/>
      <c r="H46" s="32"/>
      <c r="J46">
        <f t="shared" si="0"/>
        <v>0</v>
      </c>
      <c r="K46">
        <f t="shared" si="1"/>
        <v>0</v>
      </c>
      <c r="L46">
        <f t="shared" si="2"/>
        <v>0</v>
      </c>
      <c r="M46">
        <f t="shared" si="3"/>
        <v>0</v>
      </c>
      <c r="N46" s="35">
        <f t="shared" si="4"/>
        <v>0</v>
      </c>
    </row>
    <row r="47" spans="1:14" x14ac:dyDescent="0.25">
      <c r="A47" s="31">
        <v>45</v>
      </c>
      <c r="B47" s="32" t="s">
        <v>82</v>
      </c>
      <c r="C47" s="32"/>
      <c r="D47" s="32"/>
      <c r="E47" s="32"/>
      <c r="F47" s="32"/>
      <c r="G47" s="32"/>
      <c r="H47" s="32"/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  <c r="N47" s="35">
        <f t="shared" si="4"/>
        <v>0</v>
      </c>
    </row>
    <row r="48" spans="1:14" x14ac:dyDescent="0.25">
      <c r="A48" s="31">
        <v>46</v>
      </c>
      <c r="B48" s="32" t="s">
        <v>55</v>
      </c>
      <c r="C48" s="32"/>
      <c r="D48" s="32"/>
      <c r="E48" s="32"/>
      <c r="F48" s="32"/>
      <c r="G48" s="32"/>
      <c r="H48" s="32"/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N48" s="35">
        <f t="shared" si="4"/>
        <v>0</v>
      </c>
    </row>
    <row r="49" spans="1:14" x14ac:dyDescent="0.25">
      <c r="A49" s="31">
        <v>47</v>
      </c>
      <c r="B49" s="32" t="s">
        <v>83</v>
      </c>
      <c r="C49" s="32"/>
      <c r="D49" s="32"/>
      <c r="E49" s="32"/>
      <c r="F49" s="32"/>
      <c r="G49" s="32"/>
      <c r="H49" s="32"/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  <c r="N49" s="35">
        <f t="shared" si="4"/>
        <v>0</v>
      </c>
    </row>
    <row r="50" spans="1:14" x14ac:dyDescent="0.25">
      <c r="A50" s="31">
        <v>48</v>
      </c>
      <c r="B50" s="32" t="s">
        <v>84</v>
      </c>
      <c r="C50" s="32"/>
      <c r="D50" s="32"/>
      <c r="E50" s="32"/>
      <c r="F50" s="32"/>
      <c r="G50" s="32"/>
      <c r="H50" s="32"/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  <c r="N50" s="35">
        <f t="shared" si="4"/>
        <v>0</v>
      </c>
    </row>
    <row r="51" spans="1:14" x14ac:dyDescent="0.25">
      <c r="A51" s="31">
        <v>49</v>
      </c>
      <c r="B51" s="32" t="s">
        <v>85</v>
      </c>
      <c r="C51" s="32"/>
      <c r="D51" s="32"/>
      <c r="E51" s="32"/>
      <c r="F51" s="32"/>
      <c r="G51" s="32"/>
      <c r="H51" s="32"/>
      <c r="J51">
        <f t="shared" si="0"/>
        <v>0</v>
      </c>
      <c r="K51">
        <f t="shared" si="1"/>
        <v>0</v>
      </c>
      <c r="L51">
        <f t="shared" si="2"/>
        <v>0</v>
      </c>
      <c r="M51">
        <f t="shared" si="3"/>
        <v>0</v>
      </c>
      <c r="N51" s="35">
        <f t="shared" si="4"/>
        <v>0</v>
      </c>
    </row>
    <row r="52" spans="1:14" x14ac:dyDescent="0.25">
      <c r="A52" s="31">
        <v>50</v>
      </c>
      <c r="B52" s="32" t="s">
        <v>86</v>
      </c>
      <c r="C52" s="32"/>
      <c r="D52" s="32"/>
      <c r="E52" s="32"/>
      <c r="F52" s="32"/>
      <c r="G52" s="32"/>
      <c r="H52" s="32"/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  <c r="N52" s="35">
        <f t="shared" si="4"/>
        <v>0</v>
      </c>
    </row>
    <row r="53" spans="1:14" x14ac:dyDescent="0.25">
      <c r="A53" s="31">
        <v>51</v>
      </c>
      <c r="B53" s="32" t="s">
        <v>87</v>
      </c>
      <c r="C53" s="32"/>
      <c r="D53" s="32"/>
      <c r="E53" s="32"/>
      <c r="F53" s="32"/>
      <c r="G53" s="32"/>
      <c r="H53" s="32"/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  <c r="N53" s="35">
        <f t="shared" si="4"/>
        <v>0</v>
      </c>
    </row>
    <row r="54" spans="1:14" x14ac:dyDescent="0.25">
      <c r="A54" s="31">
        <v>52</v>
      </c>
      <c r="B54" s="32" t="s">
        <v>88</v>
      </c>
      <c r="C54" s="32"/>
      <c r="D54" s="32"/>
      <c r="E54" s="32"/>
      <c r="F54" s="32"/>
      <c r="G54" s="32"/>
      <c r="H54" s="32"/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  <c r="N54" s="35">
        <f t="shared" si="4"/>
        <v>0</v>
      </c>
    </row>
    <row r="55" spans="1:14" x14ac:dyDescent="0.25">
      <c r="A55" s="31">
        <v>53</v>
      </c>
      <c r="B55" s="32" t="s">
        <v>89</v>
      </c>
      <c r="C55" s="32"/>
      <c r="D55" s="32"/>
      <c r="E55" s="32"/>
      <c r="F55" s="31">
        <v>1</v>
      </c>
      <c r="G55" s="32"/>
      <c r="H55" s="31">
        <v>2</v>
      </c>
      <c r="J55">
        <f t="shared" si="0"/>
        <v>0</v>
      </c>
      <c r="K55">
        <f t="shared" si="1"/>
        <v>0</v>
      </c>
      <c r="L55">
        <f t="shared" si="2"/>
        <v>20</v>
      </c>
      <c r="M55">
        <f t="shared" si="3"/>
        <v>0</v>
      </c>
      <c r="N55" s="35">
        <f t="shared" si="4"/>
        <v>20</v>
      </c>
    </row>
    <row r="56" spans="1:14" x14ac:dyDescent="0.25">
      <c r="A56" s="31">
        <v>54</v>
      </c>
      <c r="B56" s="32" t="s">
        <v>75</v>
      </c>
      <c r="C56" s="32"/>
      <c r="D56" s="32"/>
      <c r="E56" s="32"/>
      <c r="F56" s="32"/>
      <c r="G56" s="32"/>
      <c r="H56" s="32"/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  <c r="N56" s="35">
        <f t="shared" si="4"/>
        <v>0</v>
      </c>
    </row>
    <row r="57" spans="1:14" x14ac:dyDescent="0.25">
      <c r="A57" s="31">
        <v>55</v>
      </c>
      <c r="B57" s="32" t="s">
        <v>74</v>
      </c>
      <c r="C57" s="32"/>
      <c r="D57" s="32"/>
      <c r="E57" s="32"/>
      <c r="F57" s="32"/>
      <c r="G57" s="32"/>
      <c r="H57" s="32"/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 s="35">
        <f t="shared" si="4"/>
        <v>0</v>
      </c>
    </row>
    <row r="58" spans="1:14" x14ac:dyDescent="0.25">
      <c r="A58" s="31">
        <v>56</v>
      </c>
      <c r="B58" s="32" t="s">
        <v>73</v>
      </c>
      <c r="C58" s="32"/>
      <c r="D58" s="32"/>
      <c r="E58" s="32"/>
      <c r="F58" s="32"/>
      <c r="G58" s="32"/>
      <c r="H58" s="32"/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  <c r="N58" s="35">
        <f t="shared" si="4"/>
        <v>0</v>
      </c>
    </row>
    <row r="59" spans="1:14" x14ac:dyDescent="0.25">
      <c r="A59" s="31">
        <v>57</v>
      </c>
      <c r="B59" s="32" t="s">
        <v>72</v>
      </c>
      <c r="C59" s="32"/>
      <c r="D59" s="32"/>
      <c r="E59" s="32"/>
      <c r="F59" s="32"/>
      <c r="G59" s="32"/>
      <c r="H59" s="32"/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  <c r="N59" s="35">
        <f t="shared" si="4"/>
        <v>0</v>
      </c>
    </row>
    <row r="60" spans="1:14" x14ac:dyDescent="0.25">
      <c r="A60" s="31">
        <v>58</v>
      </c>
      <c r="B60" s="32" t="s">
        <v>48</v>
      </c>
      <c r="C60" s="32"/>
      <c r="D60" s="32"/>
      <c r="E60" s="32"/>
      <c r="F60" s="32"/>
      <c r="G60" s="32"/>
      <c r="H60" s="32"/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 s="35">
        <f t="shared" si="4"/>
        <v>0</v>
      </c>
    </row>
    <row r="61" spans="1:14" x14ac:dyDescent="0.25">
      <c r="A61" s="31">
        <v>59</v>
      </c>
      <c r="B61" s="32" t="s">
        <v>90</v>
      </c>
      <c r="C61" s="32"/>
      <c r="D61" s="32"/>
      <c r="E61" s="32"/>
      <c r="F61" s="32"/>
      <c r="G61" s="32"/>
      <c r="H61" s="32"/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 s="35">
        <f t="shared" si="4"/>
        <v>0</v>
      </c>
    </row>
    <row r="62" spans="1:14" x14ac:dyDescent="0.25">
      <c r="A62" s="31">
        <v>60</v>
      </c>
      <c r="B62" s="32" t="s">
        <v>91</v>
      </c>
      <c r="C62" s="32"/>
      <c r="D62" s="32"/>
      <c r="E62" s="32"/>
      <c r="F62" s="32"/>
      <c r="G62" s="32"/>
      <c r="H62" s="32"/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 s="35">
        <f t="shared" si="4"/>
        <v>0</v>
      </c>
    </row>
    <row r="63" spans="1:14" x14ac:dyDescent="0.25">
      <c r="A63" s="30"/>
      <c r="B63" s="30"/>
      <c r="C63" s="30"/>
      <c r="D63" s="30"/>
      <c r="E63" s="30"/>
      <c r="F63" s="30"/>
      <c r="G63" s="30"/>
      <c r="H63" s="30"/>
    </row>
  </sheetData>
  <sortState ref="A3:H62">
    <sortCondition descending="1" ref="D3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Факт_Січень_2019</vt:lpstr>
      <vt:lpstr>План_Січень_2019</vt:lpstr>
      <vt:lpstr>План_Січень_2019 (2)</vt:lpstr>
      <vt:lpstr>План_Січень_2019 (3)</vt:lpstr>
      <vt:lpstr>План_Лютий_2019</vt:lpstr>
      <vt:lpstr>План_Лютий_2019 (2)</vt:lpstr>
      <vt:lpstr>План_Лютий_2019 (3)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2020-01-13T10:02:03Z</dcterms:modified>
</cp:coreProperties>
</file>