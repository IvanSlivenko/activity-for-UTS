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tabRatio="767" firstSheet="1" activeTab="3"/>
  </bookViews>
  <sheets>
    <sheet name="РезультатРозподілу" sheetId="1" r:id="rId1"/>
    <sheet name="РезультатРозподілу (2)" sheetId="4" r:id="rId2"/>
    <sheet name="ПочатокРозподілу" sheetId="2" r:id="rId3"/>
    <sheet name="Перш" sheetId="3" r:id="rId4"/>
    <sheet name="Звед_1" sheetId="5" r:id="rId5"/>
    <sheet name="Аналіз_1" sheetId="6" r:id="rId6"/>
    <sheet name="Звед_2" sheetId="7" r:id="rId7"/>
    <sheet name="Звед_3" sheetId="11" r:id="rId8"/>
    <sheet name="Очистка пробілів в кількостях" sheetId="10" r:id="rId9"/>
  </sheets>
  <definedNames>
    <definedName name="_xlnm._FilterDatabase" localSheetId="3" hidden="1">Перш!$B$3:$I$367</definedName>
    <definedName name="_xlnm._FilterDatabase" localSheetId="2" hidden="1">ПочатокРозподілу!$A$3:$G$89</definedName>
    <definedName name="_xlnm._FilterDatabase" localSheetId="0" hidden="1">РезультатРозподілу!$A$3:$M$282</definedName>
    <definedName name="_xlnm._FilterDatabase" localSheetId="1" hidden="1">'РезультатРозподілу (2)'!$F$3:$O$282</definedName>
  </definedNames>
  <calcPr calcId="124519"/>
  <pivotCaches>
    <pivotCache cacheId="0" r:id="rId10"/>
  </pivotCaches>
</workbook>
</file>

<file path=xl/calcChain.xml><?xml version="1.0" encoding="utf-8"?>
<calcChain xmlns="http://schemas.openxmlformats.org/spreadsheetml/2006/main">
  <c r="H370" i="3"/>
  <c r="H369"/>
  <c r="F369"/>
  <c r="H61" i="2"/>
  <c r="H63"/>
  <c r="H57"/>
  <c r="H38"/>
  <c r="E22" i="6"/>
  <c r="E20"/>
  <c r="E19"/>
  <c r="E18"/>
  <c r="E17"/>
  <c r="E16"/>
  <c r="E15"/>
  <c r="E14"/>
  <c r="E13"/>
  <c r="E12"/>
  <c r="E11"/>
  <c r="E10"/>
  <c r="E9"/>
  <c r="E8"/>
  <c r="E7"/>
  <c r="E6"/>
  <c r="E5"/>
  <c r="E4"/>
  <c r="E3"/>
  <c r="D22"/>
  <c r="C22"/>
  <c r="N1" i="4"/>
  <c r="H1" i="1"/>
  <c r="F1" i="2"/>
</calcChain>
</file>

<file path=xl/sharedStrings.xml><?xml version="1.0" encoding="utf-8"?>
<sst xmlns="http://schemas.openxmlformats.org/spreadsheetml/2006/main" count="8392" uniqueCount="664">
  <si>
    <t>N</t>
  </si>
  <si>
    <t>Документ</t>
  </si>
  <si>
    <t>Відбір</t>
  </si>
  <si>
    <t>Закваска</t>
  </si>
  <si>
    <t>Код матеріалу</t>
  </si>
  <si>
    <t>Вид номенклатури матеріала</t>
  </si>
  <si>
    <t>Од.вим.</t>
  </si>
  <si>
    <t>Кількість закваски</t>
  </si>
  <si>
    <t>Продукція</t>
  </si>
  <si>
    <t>Код продукту</t>
  </si>
  <si>
    <t>Кількість продукта</t>
  </si>
  <si>
    <t>Специфікація продукту</t>
  </si>
  <si>
    <t>Вид номенклатури продукції</t>
  </si>
  <si>
    <t>Отчет мастера смены МКГ00002427 від 16.07.2026 00:00:00</t>
  </si>
  <si>
    <t>Ні </t>
  </si>
  <si>
    <t>Закваска ST-BODI-3/25шт200од FD-DVS 668900</t>
  </si>
  <si>
    <t>РД-028410  </t>
  </si>
  <si>
    <t>Матеріал</t>
  </si>
  <si>
    <t>кор.</t>
  </si>
  <si>
    <t>Кефір "Карпатський" ПЕТ 1% 250 г Галичина</t>
  </si>
  <si>
    <t>РД-025893  </t>
  </si>
  <si>
    <t>50 669,000</t>
  </si>
  <si>
    <t>Кефір ПЕТ 1% 250 г Галичина 15,07,26 карпатікус</t>
  </si>
  <si>
    <t>Отчет мастера смены МКГ00002416 від 05.07.2026 00:00:00</t>
  </si>
  <si>
    <t>Кефір ПЕТ "ҐоКарпати ПИТНИЙ" 1 % 420 г</t>
  </si>
  <si>
    <t>РД-065977  </t>
  </si>
  <si>
    <t>21 936,000</t>
  </si>
  <si>
    <t>Кефір ПЕТ "ҐоКарпати ПИТНИЙ" 1 % 420 г 01,07,25</t>
  </si>
  <si>
    <t>Отчет мастера смены МКГ00002497 від 17.07.2026 00:00:00</t>
  </si>
  <si>
    <t>Ряжанка 400 г Щоденний збір 4% п/ет</t>
  </si>
  <si>
    <t>РД-059069  </t>
  </si>
  <si>
    <t>1 061 732,000</t>
  </si>
  <si>
    <t>Ряжанка 400 г Щоденний збір 4% п/ет01,07,26</t>
  </si>
  <si>
    <t>Ряжанка п/е 4% 400г ГаличанськА</t>
  </si>
  <si>
    <t>РД-013523  </t>
  </si>
  <si>
    <t>111 776,000</t>
  </si>
  <si>
    <t>Ряжанка п/е 4% 400г Галичина(ЧЕРВЕНЬ 2024)</t>
  </si>
  <si>
    <t>Ряжанка ПЕТ 4% 800г Галичина</t>
  </si>
  <si>
    <t>РД-059690  </t>
  </si>
  <si>
    <t>25 944,000</t>
  </si>
  <si>
    <t>Ряжанка ПЕТ 4% 800г Галичина,</t>
  </si>
  <si>
    <t>Ряжанка 4,0% ПЕТ 800г ТМLatti</t>
  </si>
  <si>
    <t>РД-062076  </t>
  </si>
  <si>
    <t>3 516,000</t>
  </si>
  <si>
    <t>Отчет мастера смены МКГ00002424 від 13.07.2026 00:00:00</t>
  </si>
  <si>
    <t>Кефір ПЕТ "ҐоКарпати ПИТНИЙ 1 % 800 г</t>
  </si>
  <si>
    <t>РД-040172  </t>
  </si>
  <si>
    <t>26 532,000</t>
  </si>
  <si>
    <t>Кефір ПЕТ "ҐоКарпати ПИТНИЙ 1 % 800 г ВЕР 24</t>
  </si>
  <si>
    <t>Кефір 1,1% ПЕТ 420г ТМLatti</t>
  </si>
  <si>
    <t>РД-029274  </t>
  </si>
  <si>
    <t>13 088,000</t>
  </si>
  <si>
    <t>Кефір 1,1% ПЕТ 420г ТМLatti ВЕР 24</t>
  </si>
  <si>
    <t>Кефір 1,1% ПЕТ 870г ТМLatti</t>
  </si>
  <si>
    <t>РД-023989  </t>
  </si>
  <si>
    <t>43 608,000</t>
  </si>
  <si>
    <t>Кефір 1,1% ПЕТ 870г ТМLatti ВЕР 24</t>
  </si>
  <si>
    <t>Кефір "Карпатський" ПЕТ нежирний  870г Галичина</t>
  </si>
  <si>
    <t>РД-009360  </t>
  </si>
  <si>
    <t>263 508,000</t>
  </si>
  <si>
    <t>Кефір ПЕТнежирний  870г Галичина 15,07,26 карпатікус</t>
  </si>
  <si>
    <t>Закваска Premium 10 14штХ500од.F-DVS YoFlex   \    722303                                                      </t>
  </si>
  <si>
    <t>РД-048784  </t>
  </si>
  <si>
    <t>Йогурт  "Карпатський" ПЕТ безлактозний 2,2%  300 г без цукру Галичина</t>
  </si>
  <si>
    <t>РД-032227  </t>
  </si>
  <si>
    <t>117 785,000</t>
  </si>
  <si>
    <t>Йогурт  "Карпатський" ПЕТ  2,2% 300 г безлактозний без цукру Галичина 05,08,25</t>
  </si>
  <si>
    <t>Отчет мастера смены МКГ00002425 від 14.07.2026 00:00:00</t>
  </si>
  <si>
    <t>Йогурт «Карпатський»  ПЕТ 2,2% 800 г  без цукру Галичина</t>
  </si>
  <si>
    <t>РД-034418  </t>
  </si>
  <si>
    <t>29 904,000</t>
  </si>
  <si>
    <t>Йогурт «Карпатський»  ПЕТ 2,2%, 800 г без цукру Галичина (2025 ЛИСТОПАД)</t>
  </si>
  <si>
    <t>Йогурт  "Карпатський" ПЕТ 2,2% 550 г без цукру Галичина</t>
  </si>
  <si>
    <t>РД-036718  </t>
  </si>
  <si>
    <t>128 711,000</t>
  </si>
  <si>
    <t>Йогурт  "Карпатський" ПЕТ 2,2% 550 г без цукру Галичина 12,03,25</t>
  </si>
  <si>
    <t>Йогурт  "Карпатський" ПЕТ  2,2% 300 г без цукру Галичина</t>
  </si>
  <si>
    <t>РД-021402  </t>
  </si>
  <si>
    <t>123 607,000</t>
  </si>
  <si>
    <t>Йогурт  "Карпатський" ПЕТ  2,2% 300 г без цукру Галичина 05,08,25</t>
  </si>
  <si>
    <t>закваска Premium 11/6x500UF-DVC FreshQ -726654</t>
  </si>
  <si>
    <t>РД-050216  </t>
  </si>
  <si>
    <t>Йогурт 400 г День у День злаки 1% п/ет (Г)</t>
  </si>
  <si>
    <t>РД-070494  </t>
  </si>
  <si>
    <t>87 358,000</t>
  </si>
  <si>
    <t>Йогурт 400 г День у День злаки 1% п/ет (Г) 01,07,26</t>
  </si>
  <si>
    <t>Йогурт 400 г День у День малина 1% п/ет (Г)</t>
  </si>
  <si>
    <t>РД-070495  </t>
  </si>
  <si>
    <t>189 576,000</t>
  </si>
  <si>
    <t>Йогурт 400 г День у День малина 1% п/ет (Г)01,07,26</t>
  </si>
  <si>
    <t>Йогурт 400 г День у День полуниця-банан 1% п/ет (Г)</t>
  </si>
  <si>
    <t>РД-070496  </t>
  </si>
  <si>
    <t>152 128,000</t>
  </si>
  <si>
    <t>Йогурт 400 г День у День полуниця-банан 1% п/ет (Г) 01,07,26</t>
  </si>
  <si>
    <t>Йогурт 400 г День у День чорниця 1% п/ет (Г)</t>
  </si>
  <si>
    <t>РД-070497  </t>
  </si>
  <si>
    <t>307 302,000</t>
  </si>
  <si>
    <t>Йогурт 400 г День у День чорниця 1% п/ет (Г)01,07,26</t>
  </si>
  <si>
    <t>Йoгуpт 0,9 кг День у День пoлуниця-малина 1% п/eт</t>
  </si>
  <si>
    <t>РД-070498  </t>
  </si>
  <si>
    <t>129 820,000</t>
  </si>
  <si>
    <t>Йoгуpт 0,9 кг День у День пoлуниця-малина 1% п/eт 01,03,26</t>
  </si>
  <si>
    <t>Йогурт п/е 1% 400г Полуниця Молочар</t>
  </si>
  <si>
    <t>РД-014235  </t>
  </si>
  <si>
    <t>13 280,000</t>
  </si>
  <si>
    <t>Йогурт п/е 1% 400г Полуниця Молочар  30,01,26</t>
  </si>
  <si>
    <t>Йогурт п/е 1% 400г Персик Молочар</t>
  </si>
  <si>
    <t>РД-014236  </t>
  </si>
  <si>
    <t>10 010,000</t>
  </si>
  <si>
    <t>Йогурт п/е 1% 400г Персик Молочар 30,01,26</t>
  </si>
  <si>
    <t>Йогурт 1% п/е 400г Повна Чаша Персик </t>
  </si>
  <si>
    <t>РД-018121  </t>
  </si>
  <si>
    <t>10 080,000</t>
  </si>
  <si>
    <t>Йогурт Персик 1% пе 400г Повна Чаша  30,01,26</t>
  </si>
  <si>
    <t>Отчет мастера смены МКГ00002426 від 15.07.2026 00:00:00</t>
  </si>
  <si>
    <t>Заквасочна культура  YO-MIX  885  LYO 500  DCU</t>
  </si>
  <si>
    <t>РД-064192  </t>
  </si>
  <si>
    <t>шт</t>
  </si>
  <si>
    <t>АЙРАН нежирний, ПЕТ 420г ТМ Latti</t>
  </si>
  <si>
    <t>РД-067613  </t>
  </si>
  <si>
    <t>7 288,000</t>
  </si>
  <si>
    <t>АЙРАН нежирний, ПЕТ 420г ТМ Latti 05,07,25</t>
  </si>
  <si>
    <t>АЙРАН нежирний, ПЕТ 800г ТМ Latti</t>
  </si>
  <si>
    <t>РД-067614  </t>
  </si>
  <si>
    <t>7 986,000</t>
  </si>
  <si>
    <t>АЙРАН нежирний, ПЕТ 800г ТМ Latti 05,07,25</t>
  </si>
  <si>
    <t>Закваска F-DVS FreshQ   Mild203/12inX500од 727665                                                     </t>
  </si>
  <si>
    <t>РД-067811  </t>
  </si>
  <si>
    <t>Йогурт "Карпатський" ст. десертний 1,6% 280 г без цукру Галичина</t>
  </si>
  <si>
    <t>РД-064669  </t>
  </si>
  <si>
    <t>165 552,000</t>
  </si>
  <si>
    <t>Йогурт "Карпатський" ст. десертний 1,6% 280 г без цукру Галичина 08,05,25 новий лоток</t>
  </si>
  <si>
    <t>153 651,000</t>
  </si>
  <si>
    <t>Йогурт  "Карпатський" 3,0% відро 500 г без цукру Галичина</t>
  </si>
  <si>
    <t>РД-041164  </t>
  </si>
  <si>
    <t>92 915,000</t>
  </si>
  <si>
    <t>Йогурт  "Карпатський" 3,0% відро 500 г без цукру Галичина (ЛИП 24)</t>
  </si>
  <si>
    <t>Йогурт  "Карпатський" ст. безлактозний 3,0 %  280 г без цукру Галичина</t>
  </si>
  <si>
    <t>РД-032226  </t>
  </si>
  <si>
    <t>39 264,000</t>
  </si>
  <si>
    <t>Йогурт "Карпатський" ст. безлактозний 3,0 %  280 г без цукру Галичина НОВИЙ (ЛИП24)</t>
  </si>
  <si>
    <t>Йогурт  "Карпатський" 3,0% відро 1000 г без цукру Галичина</t>
  </si>
  <si>
    <t>РД-025692  </t>
  </si>
  <si>
    <t>61 124,000</t>
  </si>
  <si>
    <t>Йогурт  "Карпатський" 3,0% відро 1000 г без цукру Галичина (ЛИП 24)</t>
  </si>
  <si>
    <t>Йогурт  "Карпатський" ст. 3,0% 280 г без цукру Галичина</t>
  </si>
  <si>
    <t>РД-021405  </t>
  </si>
  <si>
    <t>89 759,000</t>
  </si>
  <si>
    <t>Йогурт  "Карпатський" ст. 3,0% 280 г без цукру Галичина НОВИЙ (ЛИП24)</t>
  </si>
  <si>
    <t>Закваска Premium 16\12штX500од F-DVS YoFlex  3789991</t>
  </si>
  <si>
    <t>РД-073081  </t>
  </si>
  <si>
    <t>Заквасочна культура DN LYO 2D</t>
  </si>
  <si>
    <t>РД-017255  </t>
  </si>
  <si>
    <t>Кефір ПЕТ 2,5% 420г ТМ Latti</t>
  </si>
  <si>
    <t>РД-020565  </t>
  </si>
  <si>
    <t>30 312,000</t>
  </si>
  <si>
    <t>Кефір ПЕТ 2,5% 420г ТМ Latti (СІЧЕНЬ 2025) </t>
  </si>
  <si>
    <t>Кефір ПЕТ 2,5%  870г ТМ Latti</t>
  </si>
  <si>
    <t>РД-020566  </t>
  </si>
  <si>
    <t>98 784,000</t>
  </si>
  <si>
    <t>Кефір ПЕТ 2,5%  870г ТМ Latti (ЧЕРВ 2024)</t>
  </si>
  <si>
    <t>Кефір 400 г Щоденний збір 2,5% п/е(Г)</t>
  </si>
  <si>
    <t>РД-059067  </t>
  </si>
  <si>
    <t>190 030,000</t>
  </si>
  <si>
    <t>Кефір 400 г Щоденний збір 2,5% п/е(Г) (03,12,2024)</t>
  </si>
  <si>
    <t>Кефір 0,9 кг Щоденний збір 2,5% п/е(Г)</t>
  </si>
  <si>
    <t>РД-059072  </t>
  </si>
  <si>
    <t>68 842,000</t>
  </si>
  <si>
    <t>Кефір 0,9 кг Щоденний збір 2,5% п/е(Г) ГРУДЕНЬ 24</t>
  </si>
  <si>
    <t>Кефір п/е 2,5% 900г ГаличанськиЙ</t>
  </si>
  <si>
    <t>РД-014165  </t>
  </si>
  <si>
    <t>15 888,000</t>
  </si>
  <si>
    <t>Кефір п/е 2,5% 900г Галичина  (ЧЕРВЕНЬ 2024)</t>
  </si>
  <si>
    <t>Отчет мастера смены МКГ00002422 від 11.07.2026 00:00:00</t>
  </si>
  <si>
    <t>Кефір п/е 1% 400г ТМ "№1"</t>
  </si>
  <si>
    <t>РД-014736  </t>
  </si>
  <si>
    <t>10 300,000</t>
  </si>
  <si>
    <t>Кефір п/е 1% 400г ТМ "№1" ВЕР 24</t>
  </si>
  <si>
    <t>Отчет мастера смены МКГ00002415 від 04.07.2026 00:00:00</t>
  </si>
  <si>
    <t>Кефір п/е 2,5% 400г ТМ "№1"</t>
  </si>
  <si>
    <t>РД-014737  </t>
  </si>
  <si>
    <t>5 000,000</t>
  </si>
  <si>
    <t>Кефір п/е 2,5% 400г ТМ "№1"  (ЧЕРВЕНЬ 2024)</t>
  </si>
  <si>
    <t>Кефір п/е 1% 900г ТМ "№1"</t>
  </si>
  <si>
    <t>РД-014738  </t>
  </si>
  <si>
    <t>7 884,000</t>
  </si>
  <si>
    <t>Кефір п/е 1% 900г ТМ "№1" ВЕР 24</t>
  </si>
  <si>
    <t>Кефір ПЕТ "ҐоКарпати ПИТНИЙ" 2,2% 800 г </t>
  </si>
  <si>
    <t>РД-054684  </t>
  </si>
  <si>
    <t>21 336,000</t>
  </si>
  <si>
    <t>Кефір ПЕТ "ҐоКарпати ПИТНИЙ" 2,2% 800 г15,07,26 карпатікус</t>
  </si>
  <si>
    <t>Кефір п/е 2,5% 400г ГаличанськиЙ</t>
  </si>
  <si>
    <t>РД-013525  </t>
  </si>
  <si>
    <t>34 398,000</t>
  </si>
  <si>
    <t>Кефір п/е 2,5% 400г Галичина  (ЧЕРВЕНЬ 2024)</t>
  </si>
  <si>
    <t>Отчет мастера смены МКГ00002418 від 07.07.2026 00:00:00</t>
  </si>
  <si>
    <t>Кефір ПЕТ "ҐоКарпати ЛОЖКОВИЙ" 2,2 % 800 г</t>
  </si>
  <si>
    <t>РД-040173  </t>
  </si>
  <si>
    <t>7 770,000</t>
  </si>
  <si>
    <t>Кефір ПЕТ "ҐоКарпати ЛОЖКОВИЙ" 2,2 % 800 г (ЧЕРВ 24)</t>
  </si>
  <si>
    <t>Кефір ПЕТ "ҐоКарпати ПИТНИЙ" 2,5 % 420 г</t>
  </si>
  <si>
    <t>РД-041617  </t>
  </si>
  <si>
    <t>48 888,000</t>
  </si>
  <si>
    <t>Кефір ПЕТ Галичина  ҐоКарпати ПИТНИЙ 2,5 % 420 г (СІЧЕНЬ 2025)</t>
  </si>
  <si>
    <t>Кефір ПЕТ "ҐоКарпати ЛОЖКОВИЙ" 1% 800 г</t>
  </si>
  <si>
    <t>РД-042504  </t>
  </si>
  <si>
    <t>7 026,000</t>
  </si>
  <si>
    <t>Кефір ПЕТ "ҐоКарпати ЛОЖКОВИЙ" 1% 800 г (ВЕР 24)</t>
  </si>
  <si>
    <t>Кефір п/е 1% 400г ТМ «То є просто»</t>
  </si>
  <si>
    <t>РД-032271  </t>
  </si>
  <si>
    <t>2 700,000</t>
  </si>
  <si>
    <t>Кефір п/е 1% 400г ТМ «То є просто» ВЕР 24</t>
  </si>
  <si>
    <t>Кефір "Карпатський" ПЕТ 2,5% 250 г Галичина</t>
  </si>
  <si>
    <t>РД-025742  </t>
  </si>
  <si>
    <t>121 798,000</t>
  </si>
  <si>
    <t>Кефір ПЕТ 2,5% 250 г Галичина (15,07,26 карпатікус</t>
  </si>
  <si>
    <t>Кефір "Карпатський" ПЕТ 2,5%  870г Галичина</t>
  </si>
  <si>
    <t>РД-009361  </t>
  </si>
  <si>
    <t>324 708,000</t>
  </si>
  <si>
    <t>Кефір ПЕТ 2,5%  870г Галичина 15,07,26 карпатікус</t>
  </si>
  <si>
    <t>Заквасочна культура     Holdback YM-XPM  FRO 500 (Р)</t>
  </si>
  <si>
    <t>РД-027287  </t>
  </si>
  <si>
    <t>Йогурт "Карпатський" ст. десертний 1,5% 115 г Вишня Галичина</t>
  </si>
  <si>
    <t>РД-056928  </t>
  </si>
  <si>
    <t>24 400,000</t>
  </si>
  <si>
    <t>Йогурт ст. 1,5% 115 г Вишня Галичина Н </t>
  </si>
  <si>
    <t>Йогурт "Карпатський" ст. десертний 1,5% 115 г Персик Галичина</t>
  </si>
  <si>
    <t>РД-056929  </t>
  </si>
  <si>
    <t>24 680,000</t>
  </si>
  <si>
    <t>Йогурт ст. 1,5% 115 г Персик Галичина Н </t>
  </si>
  <si>
    <t>Йогурт ст. десертний 1,5% 115 г Персик Молочар</t>
  </si>
  <si>
    <t>РД-057654  </t>
  </si>
  <si>
    <t>16 910,000</t>
  </si>
  <si>
    <t>Йогурт ст. 1,5% 115 г Персик Молочар 13,06,24 НОВИЙ</t>
  </si>
  <si>
    <t>Закваска ХТ-314 F-DVS 704769  10шт/500од</t>
  </si>
  <si>
    <t>РД-007529  </t>
  </si>
  <si>
    <t>коробка</t>
  </si>
  <si>
    <t>Сметана п/е 21% 450г ДК</t>
  </si>
  <si>
    <t>000020010  </t>
  </si>
  <si>
    <t>11 695,000</t>
  </si>
  <si>
    <t>Сметана п/е 21% 450г ДК (молоко) (2022)</t>
  </si>
  <si>
    <t>Продукт молоковмісний сметанний 20 % жиру 10 кг </t>
  </si>
  <si>
    <t>РД-050214  </t>
  </si>
  <si>
    <t>19 720,000</t>
  </si>
  <si>
    <t>Продукт молоковмісний сметанний 20 % жиру 10 кг (молоко)22.07.23</t>
  </si>
  <si>
    <t>Отчет мастера смены МКГ00002420 від 09.07.2026 00:00:00</t>
  </si>
  <si>
    <t>Сметана ст. безлактозна 15% 300 г ТМ Галичина</t>
  </si>
  <si>
    <t>РД-069801  </t>
  </si>
  <si>
    <t>26 016,000</t>
  </si>
  <si>
    <t>Сметана ст. безлактозна 15% 300 г ТМ Галичина 01,10,25 руч лоток</t>
  </si>
  <si>
    <t>Сметана стакан 15% 300г ТМ Latti</t>
  </si>
  <si>
    <t>РД-057939  </t>
  </si>
  <si>
    <t>76 960,000</t>
  </si>
  <si>
    <t>Сметана стакан 15% 300г ТМ Latti ЛОТОК 8</t>
  </si>
  <si>
    <t>Сметана стакан 20% 300г ТМ Latti</t>
  </si>
  <si>
    <t>РД-057940  </t>
  </si>
  <si>
    <t>111 312,000</t>
  </si>
  <si>
    <t>Сметана стакан 20% 300г ТМ Latti НОВИЙ</t>
  </si>
  <si>
    <t>Сметана п/е 15% 370г  ТМ ГаличанськА</t>
  </si>
  <si>
    <t>РД-037081  </t>
  </si>
  <si>
    <t>89 440,000</t>
  </si>
  <si>
    <t>Сметана п/е 15% 370г  ТМ ГаличанськА ( БЕРЕЗЕНЬ 2023) </t>
  </si>
  <si>
    <t>Сметана п/е 20% 370г  ТМ ГаличанськА</t>
  </si>
  <si>
    <t>РД-037082  </t>
  </si>
  <si>
    <t>164 880,000</t>
  </si>
  <si>
    <t>Сметана п/е 20% 370г  ТМ ГаличанськА (ВЕРШКИ) прихідні ( БЕРЕЗЕНЬ 2023)</t>
  </si>
  <si>
    <t>Продукт молвм. сметанний Селянський п/е 20% 400г Розумний вибір</t>
  </si>
  <si>
    <t>РД-014142  </t>
  </si>
  <si>
    <t>542 180,000</t>
  </si>
  <si>
    <t>Продукт молвм. сметанний Селянський п/е 20% 400г Розумний вибір ( молоко) (22.07.23)</t>
  </si>
  <si>
    <t>Сметана п/е 15% 400г  ТМ ГаличанськА</t>
  </si>
  <si>
    <t>РД-017323  </t>
  </si>
  <si>
    <t>85 480,000</t>
  </si>
  <si>
    <t>Сметана п/е 15% 400г  ТМ Галичина 01,04,26</t>
  </si>
  <si>
    <t>Сметана ст. 15% 300г ТМ Галичина</t>
  </si>
  <si>
    <t>РД-046011  </t>
  </si>
  <si>
    <t>256 992,000</t>
  </si>
  <si>
    <t>Сметана ст. 15% 300г ТМ Галичина (КВІТЕНЬ 2024) ЛОТОК 8</t>
  </si>
  <si>
    <t>Сметана ст. 20% 300г ТМ Галичина</t>
  </si>
  <si>
    <t>РД-046012  </t>
  </si>
  <si>
    <t>146 664,000</t>
  </si>
  <si>
    <t>Сметана ст. 20% 300г ТМ Галичина (КВІТЕНЬ 2024) ЛОТОК 8</t>
  </si>
  <si>
    <t>Сметана 20 % відро 5 кг</t>
  </si>
  <si>
    <t>РД-024184  </t>
  </si>
  <si>
    <t>19 495,000</t>
  </si>
  <si>
    <t>Сметана 20 % відро 5 кг ( БЕРЕЗЕНЬ 2023)</t>
  </si>
  <si>
    <t>Отчет мастера смены МКГ00002421 від 10.07.2026 00:00:00</t>
  </si>
  <si>
    <t>Заквасочна культура  YO-MIX  PRIME 802 LYO 500 DCU  шт.</t>
  </si>
  <si>
    <t>РД-062095  </t>
  </si>
  <si>
    <t>Йогурт "Карпатський" ст. десертний 8%  280 г з вершками Галичина</t>
  </si>
  <si>
    <t>РД-047938  </t>
  </si>
  <si>
    <t>7 328,000</t>
  </si>
  <si>
    <t>Йогурт "Карпатський" ст. десертний 8%  280 г з вершками Галичина СТАРИЙ (ЛИП24)</t>
  </si>
  <si>
    <t>Заквасочна культура CHOOZIT BM/SC 504 FRO 500 DCU (Р)</t>
  </si>
  <si>
    <t>РД-040051  </t>
  </si>
  <si>
    <t>Закваска F-DVS YoFlex Creamy 1.0/14 720071 </t>
  </si>
  <si>
    <t>РД-043578  </t>
  </si>
  <si>
    <t>Закваска F-DVS YF-L   901\22шт.Х500од.724038</t>
  </si>
  <si>
    <t>РД-043624  </t>
  </si>
  <si>
    <t>Йогурт ПЕТ 2,2%  300г Абрикос ТМ Latti</t>
  </si>
  <si>
    <t>РД-020567  </t>
  </si>
  <si>
    <t>3 650,000</t>
  </si>
  <si>
    <t>Йогурт ПЕТ 2,2%  300г Абрикос ТМ Latti 05,08,25</t>
  </si>
  <si>
    <t>Йогурт ПЕТ 2,2%  300г Лісова Ягода  ТМ Latti</t>
  </si>
  <si>
    <t>РД-020568  </t>
  </si>
  <si>
    <t>4 770,000</t>
  </si>
  <si>
    <t>Йогурт ПЕТ 2,2%  300г Лісова Ягода  ТМ Latti 05,08,25</t>
  </si>
  <si>
    <t>Йогурт ПЕТ 2,2%  300г Полуниця ТМ Latti</t>
  </si>
  <si>
    <t>РД-020569  </t>
  </si>
  <si>
    <t>9 290,000</t>
  </si>
  <si>
    <t>Йогурт ПЕТ 2,2%  300г Полуниця ТМ Latt 05,08,25</t>
  </si>
  <si>
    <t>Йогурт ПЕТ 2,2%  300г Злаки ТМ Latti</t>
  </si>
  <si>
    <t>РД-020570  </t>
  </si>
  <si>
    <t>14 720,000</t>
  </si>
  <si>
    <t>Йогурт ПЕТ 2,2%  300г Злаки ТМ Latti 05,08,25</t>
  </si>
  <si>
    <t>Йогурт "Карпатський" ПЕТ 2,2% 300 г Чорниця-Суниця Галичина</t>
  </si>
  <si>
    <t>РД-069674  </t>
  </si>
  <si>
    <t>65 714,000</t>
  </si>
  <si>
    <t>Йогурт "Карпатський" ПЕТ 2,2% 300 г Чорниця-Суниця Галичина 01,10,25</t>
  </si>
  <si>
    <t>Отчет мастера смены МКГ00002311 від 03.07.2026 00:00:00</t>
  </si>
  <si>
    <t>Йогурт ПЕТ 2,2%  300г Манго-Яблуко-Льон Галичина</t>
  </si>
  <si>
    <t>РД-069676  </t>
  </si>
  <si>
    <t>9 300,000</t>
  </si>
  <si>
    <t>Йогурт ПЕТ 2,2%  300г Манго-Яблуко-Льон Галичина 01,10,25</t>
  </si>
  <si>
    <t>Йогурт «Карпатський»  ПЕТ 2,2% 800 г Лохина-Чорниця Галичина</t>
  </si>
  <si>
    <t>РД-069686  </t>
  </si>
  <si>
    <t>36 622,000</t>
  </si>
  <si>
    <t>Йогурт «Карпатський»  ПЕТ 2,2% 800 г Лохина-Чорниця Галичина 01,10,25</t>
  </si>
  <si>
    <t>Йогурт «Карпатський» ПЕТ 2,2% 800 г Персик-Абрикос Галичина</t>
  </si>
  <si>
    <t>РД-069687  </t>
  </si>
  <si>
    <t>16 140,000</t>
  </si>
  <si>
    <t>Йогурт «Карпатський» ПЕТ 2,2% 800 г Персик-Абрикос Галичина 01,10,25</t>
  </si>
  <si>
    <t>Йогурт «Карпатський» ПЕТ 2,2% 800 г Полуниця-Суниця Галичина</t>
  </si>
  <si>
    <t>РД-069688  </t>
  </si>
  <si>
    <t>21 630,000</t>
  </si>
  <si>
    <t>Йогурт «Карпатський» ПЕТ 2,2% 800 г Полуниця-Суниця Галичина 01,10,25</t>
  </si>
  <si>
    <t>Йогурт «Карпатський» ПЕТ 2,2% 800 г Ягідний мікс Галичина</t>
  </si>
  <si>
    <t>РД-069689  </t>
  </si>
  <si>
    <t>20 568,000</t>
  </si>
  <si>
    <t>Йогурт «Карпатський» ПЕТ 2,2% 800 г Ягідний мікс Галичина 01,10,25</t>
  </si>
  <si>
    <t>Отчет мастера смены МКГ00002423 від 12.07.2026 00:00:00</t>
  </si>
  <si>
    <t>Йогурт питний 2,2%  550 г Мультисмак Галичина</t>
  </si>
  <si>
    <t>РД-036787  </t>
  </si>
  <si>
    <t>1 248,000</t>
  </si>
  <si>
    <t>Йогурт питний 2,2%  550 г Мультисмак Галичина 12,03,25</t>
  </si>
  <si>
    <t>Йогурт "Карпатський" ПЕТ 2,2% 300 г Абрикос Галичина</t>
  </si>
  <si>
    <t>РД-016650  </t>
  </si>
  <si>
    <t>89 700,000</t>
  </si>
  <si>
    <t>Йогурт ПЕТ 2,2%  300г Абрикос Галичина 05,08,25</t>
  </si>
  <si>
    <t>Йогурт "Карпатський" ПЕТ 2,2% 300 г Злаки Галичина</t>
  </si>
  <si>
    <t>РД-016651  </t>
  </si>
  <si>
    <t>590 970,000</t>
  </si>
  <si>
    <t>Йогурт ПЕТ 2,2%  300г Злаки Галичина 05,08,25</t>
  </si>
  <si>
    <t>Йогурт "Карпатський" ПЕТ 2,2% 300 г Чорниця-Злаки Галичина</t>
  </si>
  <si>
    <t>РД-016653  </t>
  </si>
  <si>
    <t>165 260,000</t>
  </si>
  <si>
    <t>Йогурт ПЕТ 2,2%  300г Чорниця - Злаки Галичина  05,08,25</t>
  </si>
  <si>
    <t>Йогурт "Карпатський" ПЕТ 2,2% 300 г Полуниця Галичина</t>
  </si>
  <si>
    <t>РД-016654  </t>
  </si>
  <si>
    <t>368 740,000</t>
  </si>
  <si>
    <t>Йогурт ПЕТ 2,2%  300г Полуниця Галичина  05,08,25</t>
  </si>
  <si>
    <t>Йогурт "Карпатський" ПЕТ 2,2% 300 г Чорниця Галичина</t>
  </si>
  <si>
    <t>РД-016655  </t>
  </si>
  <si>
    <t>182 840,000</t>
  </si>
  <si>
    <t>Йогурт ПЕТ 2,2%  300г Чорниця Галичина 05,08,25</t>
  </si>
  <si>
    <t>Йогурт "Карпатський" ПЕТ 2,2% 300 г Малина Галичина</t>
  </si>
  <si>
    <t>РД-016656  </t>
  </si>
  <si>
    <t>77 860,000</t>
  </si>
  <si>
    <t>Йогурт ПЕТ 2,2%  300г Малина Галичина  05,08,25</t>
  </si>
  <si>
    <t>Йогурт "Карпатський" ПЕТ 2,2% 300 г Лісова ягода Галичина</t>
  </si>
  <si>
    <t>РД-016657  </t>
  </si>
  <si>
    <t>158 876,000</t>
  </si>
  <si>
    <t>Йогурт ПЕТ 2,2%  300г Лісова ягода Галичина 05,08,25</t>
  </si>
  <si>
    <t>Йогурт питний 2,2%  300г Мультисмак Галичина</t>
  </si>
  <si>
    <t>РД-017886  </t>
  </si>
  <si>
    <t>34 280,000</t>
  </si>
  <si>
    <t>Йогурт питний 2,2%  300г Мультисмак Галичина 05,08,25</t>
  </si>
  <si>
    <t>Йогурт ПЕТ 2,2%  300г Ананас Галичина</t>
  </si>
  <si>
    <t>РД-052979  </t>
  </si>
  <si>
    <t>20 120,000</t>
  </si>
  <si>
    <t>Йогурт ПЕТ 2,2%  300г Ананас Галичина 05,08,25</t>
  </si>
  <si>
    <t>Йогурт ПЕТ 2,2%  300г Манго-Папайя Галичина</t>
  </si>
  <si>
    <t>РД-052981  </t>
  </si>
  <si>
    <t>20 360,000</t>
  </si>
  <si>
    <t>Йогурт ПЕТ 2,2%  300г Манго-Папайя Галичина 05,08,25</t>
  </si>
  <si>
    <t>Йогурт ПЕТ 2,2%  300г Манго Галичина</t>
  </si>
  <si>
    <t>РД-052982  </t>
  </si>
  <si>
    <t>26 360,000</t>
  </si>
  <si>
    <t>Йогурт ПЕТ 2,2%  300г Манго Галичина 05,08,25</t>
  </si>
  <si>
    <t>Йогурт ПЕТ 2,2% Абрикос 800г ТМ Latti</t>
  </si>
  <si>
    <t>РД-056756  </t>
  </si>
  <si>
    <t>12 612,000</t>
  </si>
  <si>
    <t>Йогурт Абрикос 2,2% ПЕТ 800г ТМ Latti (ТРАВЕНЬ 24)</t>
  </si>
  <si>
    <t>Йогурт ПЕТ 2,2% Лісові ягоди  800г ТМ Latti</t>
  </si>
  <si>
    <t>РД-056757  </t>
  </si>
  <si>
    <t>21 240,000</t>
  </si>
  <si>
    <t>Йогурт Лісові ягоди 2,2% ПЕТ 800г ТМ Lattii (ТРАВЕНЬ 24)</t>
  </si>
  <si>
    <t>Йогурт ПЕТ 2,2% Полуниця  800г ТМ Latti</t>
  </si>
  <si>
    <t>РД-056758  </t>
  </si>
  <si>
    <t>30 660,000</t>
  </si>
  <si>
    <t>Йогурт Полуниця 2,2% ПЕТ 800г ТМ Latti(ТРАВЕНЬ 24)</t>
  </si>
  <si>
    <t>Йогурт "Карпатський" ПЕТ 2,2% 300 г Вишня Галичина</t>
  </si>
  <si>
    <t>РД-027443  </t>
  </si>
  <si>
    <t>111 760,000</t>
  </si>
  <si>
    <t>Йогурт ПЕТ 2,2%  300г Вишня Галичина 05,08,25</t>
  </si>
  <si>
    <t>Йогурт «Карпатський»  ПЕТ 2,2% 800 г  Чорниця Галичина</t>
  </si>
  <si>
    <t>РД-034421  </t>
  </si>
  <si>
    <t>49 620,000</t>
  </si>
  <si>
    <t>Йогурт «Карпатський»  ПЕТ 2,2%, 800 г  Чорниця Галичина (ТРАВЕНЬ 24)</t>
  </si>
  <si>
    <t>Йогурт «Карпатський»  ПЕТ 2,2% 800 г  Полуниця Галичина</t>
  </si>
  <si>
    <t>РД-034422  </t>
  </si>
  <si>
    <t>92 160,000</t>
  </si>
  <si>
    <t>Йогурт «Карпатський»  ПЕТ 2,2%, 800 г  Полуниця Галичина (ТРАВЕНЬ 24)</t>
  </si>
  <si>
    <t>Йогурт «Карпатський»  ПЕТ 2,2% 800 г  Лісова ягода Галичина</t>
  </si>
  <si>
    <t>РД-034423  </t>
  </si>
  <si>
    <t>65 724,000</t>
  </si>
  <si>
    <t>Йогурт «Карпатський»  ПЕТ 2,2%, 800 г  Лісова ягода Галичина  (ТРАВЕНЬ 24)</t>
  </si>
  <si>
    <t>Йогурт «Карпатський»  ПЕТ 2,2% 800 г  Абрикос Галичина</t>
  </si>
  <si>
    <t>РД-034424  </t>
  </si>
  <si>
    <t>42 324,000</t>
  </si>
  <si>
    <t>Йогурт «Карпатський»  ПЕТ 2,2%, 800 г  Абрикос Галичин (ТРАВЕНЬ 24)</t>
  </si>
  <si>
    <t>Йогурт питний 2,2%  800г "Мультисмак" ТМ"Галичина"</t>
  </si>
  <si>
    <t>РД-034514  </t>
  </si>
  <si>
    <t>14 532,000</t>
  </si>
  <si>
    <t>Йогурт питний 2,2%  800 г Мультисмак Галичина - (ТРАВЕНЬ24)</t>
  </si>
  <si>
    <t>Йогурт "Карпатський" ПЕТ 2,2% 550 г Малина-Гранат Галичина</t>
  </si>
  <si>
    <t>РД-036529  </t>
  </si>
  <si>
    <t>18 704,000</t>
  </si>
  <si>
    <t>Йогурт ПЕТ 2,2% 550 г Малина-гранат Галичина 12,03,25</t>
  </si>
  <si>
    <t>Йогурт "Карпатський" ПЕТ 2,2% 550 г Вишня-Брусниця Галичина</t>
  </si>
  <si>
    <t>РД-036531  </t>
  </si>
  <si>
    <t>18 152,000</t>
  </si>
  <si>
    <t>Йогурт ПЕТ 2,2% 550 г Вишня - брусниця Галичина 12,03,25</t>
  </si>
  <si>
    <t>Йогурт "Карпатський" ПЕТ 2,2% 550 г Чорниця-Злаки Галичина</t>
  </si>
  <si>
    <t>РД-036719  </t>
  </si>
  <si>
    <t>34 096,000</t>
  </si>
  <si>
    <t>Йогурт ПЕТ 2,2% 550 г Чорниця - Злаки Галичина 12,03,25</t>
  </si>
  <si>
    <t>Йогурт "Карпатський" ПЕТ 2,2% 550 г Злаки-Насіння льону Галичина</t>
  </si>
  <si>
    <t>РД-036720  </t>
  </si>
  <si>
    <t>43 440,000</t>
  </si>
  <si>
    <t>Йогурт ПЕТ 2,2% 550 г Злаки – насіння льону Галичина 12,03,25</t>
  </si>
  <si>
    <t>Закваска Premium 2/15штХ500 од F-DVS  YoFi  724039</t>
  </si>
  <si>
    <t>РД-043897  </t>
  </si>
  <si>
    <t>Йогурт «Карпатський» ст. десертний 2,2% 240 г Вишня-Злаки Галичина</t>
  </si>
  <si>
    <t>РД-068969  </t>
  </si>
  <si>
    <t>74 880,000</t>
  </si>
  <si>
    <t>Йогурт «Карпатський» ст. десертний 2,2% 240 г Вишня-Злаки Галичина 01,10,25 авт лоток</t>
  </si>
  <si>
    <t>Йогурт «Карпатський» ст. десертний 2,2% 240 г Чорниця-Злаки Галичина</t>
  </si>
  <si>
    <t>РД-068970  </t>
  </si>
  <si>
    <t>96 912,000</t>
  </si>
  <si>
    <t>Йогурт «Карпатський» ст. десертний 2,2% 240 г Чорниця-Злаки Галичина 26,06,26 стар лоток</t>
  </si>
  <si>
    <t>Йогурт ст. десертний 2,2% 260 г Манго-Чіа Галичина</t>
  </si>
  <si>
    <t>РД-069798  </t>
  </si>
  <si>
    <t>13 496,000</t>
  </si>
  <si>
    <t>Йогурт ст. десертний 2,2% 260 г Манго-Чіа Галичина 01,11,25 стар лоток</t>
  </si>
  <si>
    <t>Йогурт ст. десертний 2,2% 260 г Манго-Маракуя Галичина</t>
  </si>
  <si>
    <t>РД-069799  </t>
  </si>
  <si>
    <t>Йогурт ст. десертний 2,2% 260 г Манго-Маракуя Галичина 22,09,25  стар лоток</t>
  </si>
  <si>
    <t>Йогурт ст. десертний 2,2% 260 г Ананас Галичина</t>
  </si>
  <si>
    <t>РД-069800  </t>
  </si>
  <si>
    <t>13 348,000</t>
  </si>
  <si>
    <t>Йогурт ст. десертний 2,2% 260 г Ананас Галичина новий лоток 01,10,26</t>
  </si>
  <si>
    <t>Йогурт ст. десертний 2,2% 240 г Манго-Папая Галичина</t>
  </si>
  <si>
    <t>РД-070667  </t>
  </si>
  <si>
    <t>2 600,000</t>
  </si>
  <si>
    <t>Йогурт ст. десертний 2,2% 240 г Манго-Папая Галичина  01,01,26</t>
  </si>
  <si>
    <t>Йогурт десертний 2,2% Ананас стакан 260г ТМ Latti</t>
  </si>
  <si>
    <t>РД-073340  </t>
  </si>
  <si>
    <t>1 448,000</t>
  </si>
  <si>
    <t>Йогурт десертний 2,2% Ананас стакан 260г ТМ Latti автом.лот.(08.01.26)</t>
  </si>
  <si>
    <t>Йогурт десертний 2,2% Манго-маракуя стакан 260г ТМ Latti</t>
  </si>
  <si>
    <t>РД-073341  </t>
  </si>
  <si>
    <t>2 776,000</t>
  </si>
  <si>
    <t>Йогурт десертний 2,2% Манго-маракуя стакан 260г ТМ Latti ручн.лот.(08.01.26)</t>
  </si>
  <si>
    <t>Йогурт десертний 2,2% Манго-Чіа стакан 260г ТМ Latti</t>
  </si>
  <si>
    <t>РД-073342  </t>
  </si>
  <si>
    <t>1 440,000</t>
  </si>
  <si>
    <t>Йогурт десертний 2,2% Манго-Чіа стакан 260г ТМ Latti автом.лот.(08.01.26)</t>
  </si>
  <si>
    <t>Йогурт ст. десертний 2,2% 240 г Чіа-Ваніль Галичина</t>
  </si>
  <si>
    <t>РД-076249  </t>
  </si>
  <si>
    <t>20 447,000</t>
  </si>
  <si>
    <t>Йогурт ст. десертний 2,2% 240 г Чіа-Ваніль Галичина 15,04,26 авт лоток</t>
  </si>
  <si>
    <t>Йогурт "Карпатський" ст. десертний 2,2% 260 г Полуниця-Суниця Галичина</t>
  </si>
  <si>
    <t>РД-062930  </t>
  </si>
  <si>
    <t>60 464,000</t>
  </si>
  <si>
    <t>Йогурт "Карпатський" ст. десертний 2,2% 260 г Полуниця-Суниця Галичина НОВИЙ</t>
  </si>
  <si>
    <t>Йогурт "Карпатський" ст. десертний 2,2% 260 г Лісові Ягоди Галичина</t>
  </si>
  <si>
    <t>РД-038609  </t>
  </si>
  <si>
    <t>40 048,000</t>
  </si>
  <si>
    <t>Йогурт ст. 2,2 % 260 г Лісові Ягоди Галичина  БАККОНЦЕНТРАТ НОВИЙ(ЛИП 24)</t>
  </si>
  <si>
    <t>Йогурт "Карпатський" ст. десертний 2,2% 260 г Лохина-Чорниця Галичина</t>
  </si>
  <si>
    <t>РД-038610  </t>
  </si>
  <si>
    <t>54 120,000</t>
  </si>
  <si>
    <t>Йогурт ст. 2,2 % 260 г Лохина-Чорниця Галичина  БАККОНЦЕНТРАТНОВИЙ (ЛИП 24)</t>
  </si>
  <si>
    <t>Йогурт "Карпатський" ст. десертний 2,2% 260 г Чорнослив-Злаки Галичина</t>
  </si>
  <si>
    <t>РД-039551  </t>
  </si>
  <si>
    <t>38 784,000</t>
  </si>
  <si>
    <t>Йогурт ст. 2,2 % 260 г Чорнослив-Злаки Галичина  БАККОНЦЕНТРАТ НОВИЙ (ЛИП24)</t>
  </si>
  <si>
    <t>Йогурт "Карпатський" ст. десертний 2,2% 260 г Вишня-Черешня Галичина</t>
  </si>
  <si>
    <t>РД-040334  </t>
  </si>
  <si>
    <t>139 776,000</t>
  </si>
  <si>
    <t>Йогурт ст. 2,2 % 260 г Вишня-Черешня Галичина БАККОНЦЕНТРАТ НОВИЙ (ЛИП24)</t>
  </si>
  <si>
    <t>Йогурт ст. десертний 2,2% 240 г Суниця-манго Галичина</t>
  </si>
  <si>
    <t>РД-057653  </t>
  </si>
  <si>
    <t>96 944,000</t>
  </si>
  <si>
    <t>Йогурт ст. десертний 2,2% 240 г Суниця-манго Галичина Новий Лоток 01,10,25</t>
  </si>
  <si>
    <t>Заквасочна культура Holdback YM-CPlus  LYO 500 DCV</t>
  </si>
  <si>
    <t>РД-032912  </t>
  </si>
  <si>
    <t>Йогурт  Вишня-Черешня 1,2% ПЕТ 800г ТМ Своя Лінія</t>
  </si>
  <si>
    <t>РД-051728  </t>
  </si>
  <si>
    <t>51 486,000</t>
  </si>
  <si>
    <t>Йогурт  Вишня-Черешня 1,2% ПЕТ 800г ТМ Своя Лінія КВІТЕНЬ 2025</t>
  </si>
  <si>
    <t>Йогурт  Персик-манго 1,2% ПЕТ 800г ТМ Своя Лінія</t>
  </si>
  <si>
    <t>РД-051730  </t>
  </si>
  <si>
    <t>63 036,000</t>
  </si>
  <si>
    <t>Йогурт  Персик-манго 1,2% ПЕТ 800г ТМ Своя Лінія (КВІТЕНЬ 2025</t>
  </si>
  <si>
    <t>Йогурт  Полуниця 1,2% ПЕТ 800г ТМ Своя Лінія</t>
  </si>
  <si>
    <t>РД-051731  </t>
  </si>
  <si>
    <t>57 438,000</t>
  </si>
  <si>
    <t>Йогурт  Полуниця 1,2% ПЕТ 800г ТМ Своя Лінія КВІТЕНЬ 2025</t>
  </si>
  <si>
    <t>Закваска ST- BODY-4/22 шт.Х 500 од.F-DVS 724302</t>
  </si>
  <si>
    <t>РД-045019  </t>
  </si>
  <si>
    <t>Закваска Premium 11\14штХ500од F-DVS  YoFlex  722865                  </t>
  </si>
  <si>
    <t>РД-045182  </t>
  </si>
  <si>
    <t>Закваска F-DVS Yoflex Creamy 2.0\12штX5  724303                    </t>
  </si>
  <si>
    <t>РД-045440  </t>
  </si>
  <si>
    <t>37 440,000</t>
  </si>
  <si>
    <t>48 456,000</t>
  </si>
  <si>
    <t>30 232,000</t>
  </si>
  <si>
    <t>93 184,000</t>
  </si>
  <si>
    <t>48 472,000</t>
  </si>
  <si>
    <t>21 765 633,000</t>
  </si>
  <si>
    <t>Номенклатура</t>
  </si>
  <si>
    <t>Кількість матеріалу</t>
  </si>
  <si>
    <t>Код продукції</t>
  </si>
  <si>
    <t>Кількість продукції</t>
  </si>
  <si>
    <t>кефір н/ф 2,5% м.ч.ж.2,5%(2,5%) М+П</t>
  </si>
  <si>
    <t>РД-023603  </t>
  </si>
  <si>
    <t>764 905,000</t>
  </si>
  <si>
    <t>826 315,000</t>
  </si>
  <si>
    <t>сметана н/ф 15% м.ч.ж. 15,5% (15,0%) Марія</t>
  </si>
  <si>
    <t>РД-050086  </t>
  </si>
  <si>
    <t>6 360,000</t>
  </si>
  <si>
    <t>Йогурт десертнийн/ф (1,6) без цукру</t>
  </si>
  <si>
    <t>РД-065774  </t>
  </si>
  <si>
    <t>74 380,000</t>
  </si>
  <si>
    <t>76 850,000</t>
  </si>
  <si>
    <t>кефір н/ф 1,5% м.ч.ж.(1,5%) М+П</t>
  </si>
  <si>
    <t>РД-067139  </t>
  </si>
  <si>
    <t>193 850,000</t>
  </si>
  <si>
    <t>200 890,000</t>
  </si>
  <si>
    <t>сметана н/ф 15%м.ч.ж.14,5 безлактозна</t>
  </si>
  <si>
    <t>РД-070362  </t>
  </si>
  <si>
    <t>4 020,000</t>
  </si>
  <si>
    <t>сметана н/ф 15%м.ч.ж.15,0 безлактозна</t>
  </si>
  <si>
    <t>РД-070363  </t>
  </si>
  <si>
    <t>4 150,000</t>
  </si>
  <si>
    <t>Йогурт стакан н/ф 2,5% 280г 2,66%(2,4%) Марія</t>
  </si>
  <si>
    <t>РД-030211  </t>
  </si>
  <si>
    <t>147 060,000</t>
  </si>
  <si>
    <t>140 960,000</t>
  </si>
  <si>
    <t>Йогурт стакан н/ф 2,5% 280г 2,51%(2,3%) Марія</t>
  </si>
  <si>
    <t>РД-030278  </t>
  </si>
  <si>
    <t>6 100,000</t>
  </si>
  <si>
    <t>Йогурт н/ф (2,2%) без цукру</t>
  </si>
  <si>
    <t>РД-021567  </t>
  </si>
  <si>
    <t>192 735,000</t>
  </si>
  <si>
    <t>Йогурт десертнийн/ф (3,0) без цукру</t>
  </si>
  <si>
    <t>РД-021569  </t>
  </si>
  <si>
    <t>221 490,000</t>
  </si>
  <si>
    <t>226 450,000</t>
  </si>
  <si>
    <t>Йогурт стакан н/ф 2,5% 280г 2,29%(2,1%) Марія</t>
  </si>
  <si>
    <t>РД-038756  </t>
  </si>
  <si>
    <t>4 010,000</t>
  </si>
  <si>
    <t>Продукт сметанний н/ф 20% м.ч.ж.(14,0%)олія Марія</t>
  </si>
  <si>
    <t>РД-039467  </t>
  </si>
  <si>
    <t>6 310,000</t>
  </si>
  <si>
    <t>Продукт сметанний н/ф 20% м.ч.ж.(15,0%)олія Марія</t>
  </si>
  <si>
    <t>РД-039469  </t>
  </si>
  <si>
    <t>127 556,000</t>
  </si>
  <si>
    <t>121 446,000</t>
  </si>
  <si>
    <t>ряжанка н/ф 4%м.ч.ж.(4,0%)</t>
  </si>
  <si>
    <t>РД-014092  </t>
  </si>
  <si>
    <t>продукт сметаний  н/ф 20%м.ч.ж.(20,0%) олія </t>
  </si>
  <si>
    <t>РД-015702  </t>
  </si>
  <si>
    <t>4 430,000</t>
  </si>
  <si>
    <t>сметана н/ф 15% м.ч.ж.15,0%</t>
  </si>
  <si>
    <t>РД-020514  </t>
  </si>
  <si>
    <t>196 450,000</t>
  </si>
  <si>
    <t>сметана н/ф 20% м.ч.ж.19,5%</t>
  </si>
  <si>
    <t>РД-020515  </t>
  </si>
  <si>
    <t>12 220,000</t>
  </si>
  <si>
    <t>сметана н/ф 20% м.ч.ж.20,0%</t>
  </si>
  <si>
    <t>РД-020516  </t>
  </si>
  <si>
    <t>152 100,000</t>
  </si>
  <si>
    <t>Йогурт питний н/ф 1,2% м.ч.ж.1,64%(1,3%)М+П (150)</t>
  </si>
  <si>
    <t>РД-053298  </t>
  </si>
  <si>
    <t>178 100,000</t>
  </si>
  <si>
    <t>Йогурт питний н/ф 2,4% з м.ч.ж. 3,2%(2,4%) 200 М+П</t>
  </si>
  <si>
    <t>РД-053878  </t>
  </si>
  <si>
    <t>724 269,000</t>
  </si>
  <si>
    <t>Йогурт питний н/ф 2,4% з м.ч.ж. 3,33%(2,5%) 200 М+П</t>
  </si>
  <si>
    <t>РД-053879  </t>
  </si>
  <si>
    <t>108 203,000</t>
  </si>
  <si>
    <t>ряжанка н/ф 4% м.ч.ж. (3,7%)</t>
  </si>
  <si>
    <t>РД-024720  </t>
  </si>
  <si>
    <t>Продукт сметанний н/ф 20% м.ч. ж.(20,13%)молоко(Марія)</t>
  </si>
  <si>
    <t>РД-023134  </t>
  </si>
  <si>
    <t>1 700,000</t>
  </si>
  <si>
    <t>ряжанка н/ф 4% м.ч.ж. (3,6%)</t>
  </si>
  <si>
    <t>РД-059603  </t>
  </si>
  <si>
    <t>ряжанка н/ф 4% м.ч.ж. (3,5%)</t>
  </si>
  <si>
    <t>РД-059604  </t>
  </si>
  <si>
    <t>Айран н/ф 0,8% мчж 1,2%(0,8) М+П</t>
  </si>
  <si>
    <t>РД-062904  </t>
  </si>
  <si>
    <t>11 867,000</t>
  </si>
  <si>
    <t>кефір н/ф 2,2%м.ч.ж. 2,2%(2,2%)ТЕРМОСТАТНИЙ</t>
  </si>
  <si>
    <t>РД-040357  </t>
  </si>
  <si>
    <t>9 840,000</t>
  </si>
  <si>
    <t>кефір н/ф 1,0% м.ч.ж.1,0%(1,0%) ТЕРМОСТ</t>
  </si>
  <si>
    <t>РД-042603  </t>
  </si>
  <si>
    <t>9 161,000</t>
  </si>
  <si>
    <t>Йогурт н/ф (2,2%)без цукру безлактозний</t>
  </si>
  <si>
    <t>РД-032256  </t>
  </si>
  <si>
    <t>63 065,000</t>
  </si>
  <si>
    <t>Йогурт десертнийн/ф(3,0%) без цукру безлактозний</t>
  </si>
  <si>
    <t>РД-032257  </t>
  </si>
  <si>
    <t>кефір н/ф нежирний 0,8% Марія</t>
  </si>
  <si>
    <t>РД-035604  </t>
  </si>
  <si>
    <t>102 590,000</t>
  </si>
  <si>
    <t>Йогурт десертний н/ф (8,0)без цукру(8,1%) з вершками</t>
  </si>
  <si>
    <t>РД-048440  </t>
  </si>
  <si>
    <t>2 200,000</t>
  </si>
  <si>
    <t>кефір н/ф 1,1% м.ч.ж. (1,1%) М+П</t>
  </si>
  <si>
    <t>РД-024259  </t>
  </si>
  <si>
    <t>107 200,000</t>
  </si>
  <si>
    <t>87 200,000</t>
  </si>
  <si>
    <t>Йогурт н/ф 1,0% м.ч.ж. (з наповнювачем) 0,72 (0,6%)М+П 100</t>
  </si>
  <si>
    <t>РД-044705  </t>
  </si>
  <si>
    <t>258 310,000</t>
  </si>
  <si>
    <t>Йогурт н/ф 1,0% м.ч.ж. (з наповнювачем) 0,84 (0,7%)М+П 100</t>
  </si>
  <si>
    <t>РД-044707  </t>
  </si>
  <si>
    <t>37 700,000</t>
  </si>
  <si>
    <t>Йогурт стакан н/ф 1,5 % 115 1,74%(1,6%)</t>
  </si>
  <si>
    <t>РД-057651  </t>
  </si>
  <si>
    <t>8 720,000</t>
  </si>
  <si>
    <t>9 977 257,000</t>
  </si>
  <si>
    <t>Кількість закваски (результат розподілу)</t>
  </si>
  <si>
    <t>Кількість продукта (результат розподілу)</t>
  </si>
  <si>
    <t>Кількість закваски (початок розподілу)</t>
  </si>
  <si>
    <t>Кількість продукта (початок розподілу)</t>
  </si>
  <si>
    <t>Названия строк</t>
  </si>
  <si>
    <t>(пусто)</t>
  </si>
  <si>
    <t>Общий итог</t>
  </si>
  <si>
    <t>Значения</t>
  </si>
  <si>
    <t xml:space="preserve">  Кількість закваски (початок розподілу)</t>
  </si>
  <si>
    <t xml:space="preserve">  Кількість закваски (результат розподілу)</t>
  </si>
  <si>
    <t xml:space="preserve">  Кількість продукта (початок розподілу)</t>
  </si>
  <si>
    <t xml:space="preserve">  Кількість продукта (результат розподілу)</t>
  </si>
  <si>
    <t>Кількістьзакваски (результат розподілу)</t>
  </si>
  <si>
    <t>Кількістьпродукта (результат розподілу)</t>
  </si>
  <si>
    <t>Кількістьзакваски (початок розподілу)</t>
  </si>
  <si>
    <t>Кількістьпродукта (початок розподілу)</t>
  </si>
  <si>
    <t>КодЗакваски</t>
  </si>
</sst>
</file>

<file path=xl/styles.xml><?xml version="1.0" encoding="utf-8"?>
<styleSheet xmlns="http://schemas.openxmlformats.org/spreadsheetml/2006/main">
  <numFmts count="2">
    <numFmt numFmtId="164" formatCode="#,##0.0000000000000"/>
    <numFmt numFmtId="165" formatCode="#,##0.00000000"/>
  </numFmts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594304"/>
      <name val="Arial"/>
      <family val="2"/>
      <charset val="204"/>
    </font>
    <font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5" borderId="2" xfId="0" applyFont="1" applyFill="1" applyBorder="1"/>
    <xf numFmtId="164" fontId="0" fillId="0" borderId="0" xfId="0" applyNumberFormat="1"/>
    <xf numFmtId="0" fontId="4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right" vertical="top" wrapText="1"/>
    </xf>
    <xf numFmtId="0" fontId="0" fillId="7" borderId="0" xfId="0" applyFill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230.931360995368" createdVersion="3" refreshedVersion="3" minRefreshableVersion="3" recordCount="365">
  <cacheSource type="worksheet">
    <worksheetSource ref="B2:I367" sheet="Перш"/>
  </cacheSource>
  <cacheFields count="8">
    <cacheField name="Код матеріалу" numFmtId="0">
      <sharedItems containsBlank="1" count="19">
        <m/>
        <s v="РД-028410  "/>
        <s v="РД-048784  "/>
        <s v="РД-050216  "/>
        <s v="РД-064192  "/>
        <s v="РД-067811  "/>
        <s v="РД-073081  "/>
        <s v="РД-017255  "/>
        <s v="РД-027287  "/>
        <s v="РД-007529  "/>
        <s v="РД-062095  "/>
        <s v="РД-040051  "/>
        <s v="РД-043578  "/>
        <s v="РД-043624  "/>
        <s v="РД-043897  "/>
        <s v="РД-032912  "/>
        <s v="РД-045019  "/>
        <s v="РД-045182  "/>
        <s v="РД-045440  "/>
      </sharedItems>
    </cacheField>
    <cacheField name="Закваска" numFmtId="0">
      <sharedItems containsBlank="1"/>
    </cacheField>
    <cacheField name="Код продукту" numFmtId="0">
      <sharedItems containsBlank="1" count="152">
        <m/>
        <s v="РД-025893  "/>
        <s v="РД-065977  "/>
        <s v="РД-059069  "/>
        <s v="РД-013523  "/>
        <s v="РД-059690  "/>
        <s v="РД-062076  "/>
        <s v="РД-040172  "/>
        <s v="РД-029274  "/>
        <s v="РД-023989  "/>
        <s v="РД-009360  "/>
        <s v="РД-032227  "/>
        <s v="РД-034418  "/>
        <s v="РД-036718  "/>
        <s v="РД-021402  "/>
        <s v="РД-070494  "/>
        <s v="РД-070495  "/>
        <s v="РД-070496  "/>
        <s v="РД-070497  "/>
        <s v="РД-070498  "/>
        <s v="РД-014235  "/>
        <s v="РД-014236  "/>
        <s v="РД-018121  "/>
        <s v="РД-067613  "/>
        <s v="РД-067614  "/>
        <s v="РД-064669  "/>
        <s v="РД-041164  "/>
        <s v="РД-032226  "/>
        <s v="РД-025692  "/>
        <s v="РД-021405  "/>
        <s v="РД-020565  "/>
        <s v="РД-020566  "/>
        <s v="РД-059067  "/>
        <s v="РД-059072  "/>
        <s v="РД-014165  "/>
        <s v="РД-014736  "/>
        <s v="РД-014737  "/>
        <s v="РД-014738  "/>
        <s v="РД-054684  "/>
        <s v="РД-013525  "/>
        <s v="РД-040173  "/>
        <s v="РД-041617  "/>
        <s v="РД-042504  "/>
        <s v="РД-032271  "/>
        <s v="РД-025742  "/>
        <s v="РД-009361  "/>
        <s v="РД-056928  "/>
        <s v="РД-056929  "/>
        <s v="РД-057654  "/>
        <s v="000020010  "/>
        <s v="РД-050214  "/>
        <s v="РД-069801  "/>
        <s v="РД-057939  "/>
        <s v="РД-057940  "/>
        <s v="РД-037081  "/>
        <s v="РД-037082  "/>
        <s v="РД-014142  "/>
        <s v="РД-017323  "/>
        <s v="РД-046011  "/>
        <s v="РД-046012  "/>
        <s v="РД-024184  "/>
        <s v="РД-047938  "/>
        <s v="РД-020567  "/>
        <s v="РД-020568  "/>
        <s v="РД-020569  "/>
        <s v="РД-020570  "/>
        <s v="РД-069674  "/>
        <s v="РД-069676  "/>
        <s v="РД-069686  "/>
        <s v="РД-069687  "/>
        <s v="РД-069688  "/>
        <s v="РД-069689  "/>
        <s v="РД-036787  "/>
        <s v="РД-016650  "/>
        <s v="РД-016651  "/>
        <s v="РД-016653  "/>
        <s v="РД-016654  "/>
        <s v="РД-016655  "/>
        <s v="РД-016656  "/>
        <s v="РД-016657  "/>
        <s v="РД-017886  "/>
        <s v="РД-052979  "/>
        <s v="РД-052981  "/>
        <s v="РД-052982  "/>
        <s v="РД-056756  "/>
        <s v="РД-056757  "/>
        <s v="РД-056758  "/>
        <s v="РД-027443  "/>
        <s v="РД-034421  "/>
        <s v="РД-034422  "/>
        <s v="РД-034423  "/>
        <s v="РД-034424  "/>
        <s v="РД-034514  "/>
        <s v="РД-036529  "/>
        <s v="РД-036531  "/>
        <s v="РД-036719  "/>
        <s v="РД-036720  "/>
        <s v="РД-068969  "/>
        <s v="РД-068970  "/>
        <s v="РД-069798  "/>
        <s v="РД-069799  "/>
        <s v="РД-069800  "/>
        <s v="РД-070667  "/>
        <s v="РД-073340  "/>
        <s v="РД-073341  "/>
        <s v="РД-073342  "/>
        <s v="РД-076249  "/>
        <s v="РД-062930  "/>
        <s v="РД-038609  "/>
        <s v="РД-038610  "/>
        <s v="РД-039551  "/>
        <s v="РД-040334  "/>
        <s v="РД-057653  "/>
        <s v="РД-051728  "/>
        <s v="РД-051730  "/>
        <s v="РД-051731  "/>
        <s v="РД-023603  "/>
        <s v="РД-050086  "/>
        <s v="РД-065774  "/>
        <s v="РД-067139  "/>
        <s v="РД-070362  "/>
        <s v="РД-070363  "/>
        <s v="РД-030211  "/>
        <s v="РД-030278  "/>
        <s v="РД-021567  "/>
        <s v="РД-021569  "/>
        <s v="РД-038756  "/>
        <s v="РД-039467  "/>
        <s v="РД-039469  "/>
        <s v="РД-014092  "/>
        <s v="РД-015702  "/>
        <s v="РД-020514  "/>
        <s v="РД-020515  "/>
        <s v="РД-020516  "/>
        <s v="РД-053298  "/>
        <s v="РД-053878  "/>
        <s v="РД-053879  "/>
        <s v="РД-024720  "/>
        <s v="РД-023134  "/>
        <s v="РД-059603  "/>
        <s v="РД-059604  "/>
        <s v="РД-062904  "/>
        <s v="РД-040357  "/>
        <s v="РД-042603  "/>
        <s v="РД-032256  "/>
        <s v="РД-032257  "/>
        <s v="РД-035604  "/>
        <s v="РД-048440  "/>
        <s v="РД-024259  "/>
        <s v="РД-044705  "/>
        <s v="РД-044707  "/>
        <s v="РД-057651  "/>
      </sharedItems>
    </cacheField>
    <cacheField name="Продукція" numFmtId="0">
      <sharedItems containsBlank="1" count="152">
        <m/>
        <s v="Кефір &quot;Карпатський&quot; ПЕТ 1% 250 г Галичина"/>
        <s v="Кефір ПЕТ &quot;ҐоКарпати ПИТНИЙ&quot; 1 % 420 г"/>
        <s v="Ряжанка 400 г Щоденний збір 4% п/ет"/>
        <s v="Ряжанка п/е 4% 400г ГаличанськА"/>
        <s v="Ряжанка ПЕТ 4% 800г Галичина"/>
        <s v="Ряжанка 4,0% ПЕТ 800г ТМLatti"/>
        <s v="Кефір ПЕТ &quot;ҐоКарпати ПИТНИЙ 1 % 800 г"/>
        <s v="Кефір 1,1% ПЕТ 420г ТМLatti"/>
        <s v="Кефір 1,1% ПЕТ 870г ТМLatti"/>
        <s v="Кефір &quot;Карпатський&quot; ПЕТ нежирний  870г Галичина"/>
        <s v="Йогурт  &quot;Карпатський&quot; ПЕТ безлактозний 2,2%  300 г без цукру Галичина"/>
        <s v="Йогурт «Карпатський»  ПЕТ 2,2% 800 г  без цукру Галичина"/>
        <s v="Йогурт  &quot;Карпатський&quot; ПЕТ 2,2% 550 г без цукру Галичина"/>
        <s v="Йогурт  &quot;Карпатський&quot; ПЕТ  2,2% 300 г без цукру Галичина"/>
        <s v="Йогурт 400 г День у День злаки 1% п/ет (Г)"/>
        <s v="Йогурт 400 г День у День малина 1% п/ет (Г)"/>
        <s v="Йогурт 400 г День у День полуниця-банан 1% п/ет (Г)"/>
        <s v="Йогурт 400 г День у День чорниця 1% п/ет (Г)"/>
        <s v="Йoгуpт 0,9 кг День у День пoлуниця-малина 1% п/eт"/>
        <s v="Йогурт п/е 1% 400г Полуниця Молочар"/>
        <s v="Йогурт п/е 1% 400г Персик Молочар"/>
        <s v="Йогурт 1% п/е 400г Повна Чаша Персик "/>
        <s v="АЙРАН нежирний, ПЕТ 420г ТМ Latti"/>
        <s v="АЙРАН нежирний, ПЕТ 800г ТМ Latti"/>
        <s v="Йогурт &quot;Карпатський&quot; ст. десертний 1,6% 280 г без цукру Галичина"/>
        <s v="Йогурт  &quot;Карпатський&quot; 3,0% відро 500 г без цукру Галичина"/>
        <s v="Йогурт  &quot;Карпатський&quot; ст. безлактозний 3,0 %  280 г без цукру Галичина"/>
        <s v="Йогурт  &quot;Карпатський&quot; 3,0% відро 1000 г без цукру Галичина"/>
        <s v="Йогурт  &quot;Карпатський&quot; ст. 3,0% 280 г без цукру Галичина"/>
        <s v="Кефір ПЕТ 2,5% 420г ТМ Latti"/>
        <s v="Кефір ПЕТ 2,5%  870г ТМ Latti"/>
        <s v="Кефір 400 г Щоденний збір 2,5% п/е(Г)"/>
        <s v="Кефір 0,9 кг Щоденний збір 2,5% п/е(Г)"/>
        <s v="Кефір п/е 2,5% 900г ГаличанськиЙ"/>
        <s v="Кефір п/е 1% 400г ТМ &quot;№1&quot;"/>
        <s v="Кефір п/е 2,5% 400г ТМ &quot;№1&quot;"/>
        <s v="Кефір п/е 1% 900г ТМ &quot;№1&quot;"/>
        <s v="Кефір ПЕТ &quot;ҐоКарпати ПИТНИЙ&quot; 2,2% 800 г "/>
        <s v="Кефір п/е 2,5% 400г ГаличанськиЙ"/>
        <s v="Кефір ПЕТ &quot;ҐоКарпати ЛОЖКОВИЙ&quot; 2,2 % 800 г"/>
        <s v="Кефір ПЕТ &quot;ҐоКарпати ПИТНИЙ&quot; 2,5 % 420 г"/>
        <s v="Кефір ПЕТ &quot;ҐоКарпати ЛОЖКОВИЙ&quot; 1% 800 г"/>
        <s v="Кефір п/е 1% 400г ТМ «То є просто»"/>
        <s v="Кефір &quot;Карпатський&quot; ПЕТ 2,5% 250 г Галичина"/>
        <s v="Кефір &quot;Карпатський&quot; ПЕТ 2,5%  870г Галичина"/>
        <s v="Йогурт &quot;Карпатський&quot; ст. десертний 1,5% 115 г Вишня Галичина"/>
        <s v="Йогурт &quot;Карпатський&quot; ст. десертний 1,5% 115 г Персик Галичина"/>
        <s v="Йогурт ст. десертний 1,5% 115 г Персик Молочар"/>
        <s v="Сметана п/е 21% 450г ДК"/>
        <s v="Продукт молоковмісний сметанний 20 % жиру 10 кг "/>
        <s v="Сметана ст. безлактозна 15% 300 г ТМ Галичина"/>
        <s v="Сметана стакан 15% 300г ТМ Latti"/>
        <s v="Сметана стакан 20% 300г ТМ Latti"/>
        <s v="Сметана п/е 15% 370г  ТМ ГаличанськА"/>
        <s v="Сметана п/е 20% 370г  ТМ ГаличанськА"/>
        <s v="Продукт молвм. сметанний Селянський п/е 20% 400г Розумний вибір"/>
        <s v="Сметана п/е 15% 400г  ТМ ГаличанськА"/>
        <s v="Сметана ст. 15% 300г ТМ Галичина"/>
        <s v="Сметана ст. 20% 300г ТМ Галичина"/>
        <s v="Сметана 20 % відро 5 кг"/>
        <s v="Йогурт &quot;Карпатський&quot; ст. десертний 8%  280 г з вершками Галичина"/>
        <s v="Йогурт ПЕТ 2,2%  300г Абрикос ТМ Latti"/>
        <s v="Йогурт ПЕТ 2,2%  300г Лісова Ягода  ТМ Latti"/>
        <s v="Йогурт ПЕТ 2,2%  300г Полуниця ТМ Latti"/>
        <s v="Йогурт ПЕТ 2,2%  300г Злаки ТМ Latti"/>
        <s v="Йогурт &quot;Карпатський&quot; ПЕТ 2,2% 300 г Чорниця-Суниця Галичина"/>
        <s v="Йогурт ПЕТ 2,2%  300г Манго-Яблуко-Льон Галичина"/>
        <s v="Йогурт «Карпатський»  ПЕТ 2,2% 800 г Лохина-Чорниця Галичина"/>
        <s v="Йогурт «Карпатський» ПЕТ 2,2% 800 г Персик-Абрикос Галичина"/>
        <s v="Йогурт «Карпатський» ПЕТ 2,2% 800 г Полуниця-Суниця Галичина"/>
        <s v="Йогурт «Карпатський» ПЕТ 2,2% 800 г Ягідний мікс Галичина"/>
        <s v="Йогурт питний 2,2%  550 г Мультисмак Галичина"/>
        <s v="Йогурт &quot;Карпатський&quot; ПЕТ 2,2% 300 г Абрикос Галичина"/>
        <s v="Йогурт &quot;Карпатський&quot; ПЕТ 2,2% 300 г Злаки Галичина"/>
        <s v="Йогурт &quot;Карпатський&quot; ПЕТ 2,2% 300 г Чорниця-Злаки Галичина"/>
        <s v="Йогурт &quot;Карпатський&quot; ПЕТ 2,2% 300 г Полуниця Галичина"/>
        <s v="Йогурт &quot;Карпатський&quot; ПЕТ 2,2% 300 г Чорниця Галичина"/>
        <s v="Йогурт &quot;Карпатський&quot; ПЕТ 2,2% 300 г Малина Галичина"/>
        <s v="Йогурт &quot;Карпатський&quot; ПЕТ 2,2% 300 г Лісова ягода Галичина"/>
        <s v="Йогурт питний 2,2%  300г Мультисмак Галичина"/>
        <s v="Йогурт ПЕТ 2,2%  300г Ананас Галичина"/>
        <s v="Йогурт ПЕТ 2,2%  300г Манго-Папайя Галичина"/>
        <s v="Йогурт ПЕТ 2,2%  300г Манго Галичина"/>
        <s v="Йогурт ПЕТ 2,2% Абрикос 800г ТМ Latti"/>
        <s v="Йогурт ПЕТ 2,2% Лісові ягоди  800г ТМ Latti"/>
        <s v="Йогурт ПЕТ 2,2% Полуниця  800г ТМ Latti"/>
        <s v="Йогурт &quot;Карпатський&quot; ПЕТ 2,2% 300 г Вишня Галичина"/>
        <s v="Йогурт «Карпатський»  ПЕТ 2,2% 800 г  Чорниця Галичина"/>
        <s v="Йогурт «Карпатський»  ПЕТ 2,2% 800 г  Полуниця Галичина"/>
        <s v="Йогурт «Карпатський»  ПЕТ 2,2% 800 г  Лісова ягода Галичина"/>
        <s v="Йогурт «Карпатський»  ПЕТ 2,2% 800 г  Абрикос Галичина"/>
        <s v="Йогурт питний 2,2%  800г &quot;Мультисмак&quot; ТМ&quot;Галичина&quot;"/>
        <s v="Йогурт &quot;Карпатський&quot; ПЕТ 2,2% 550 г Малина-Гранат Галичина"/>
        <s v="Йогурт &quot;Карпатський&quot; ПЕТ 2,2% 550 г Вишня-Брусниця Галичина"/>
        <s v="Йогурт &quot;Карпатський&quot; ПЕТ 2,2% 550 г Чорниця-Злаки Галичина"/>
        <s v="Йогурт &quot;Карпатський&quot; ПЕТ 2,2% 550 г Злаки-Насіння льону Галичина"/>
        <s v="Йогурт «Карпатський» ст. десертний 2,2% 240 г Вишня-Злаки Галичина"/>
        <s v="Йогурт «Карпатський» ст. десертний 2,2% 240 г Чорниця-Злаки Галичина"/>
        <s v="Йогурт ст. десертний 2,2% 260 г Манго-Чіа Галичина"/>
        <s v="Йогурт ст. десертний 2,2% 260 г Манго-Маракуя Галичина"/>
        <s v="Йогурт ст. десертний 2,2% 260 г Ананас Галичина"/>
        <s v="Йогурт ст. десертний 2,2% 240 г Манго-Папая Галичина"/>
        <s v="Йогурт десертний 2,2% Ананас стакан 260г ТМ Latti"/>
        <s v="Йогурт десертний 2,2% Манго-маракуя стакан 260г ТМ Latti"/>
        <s v="Йогурт десертний 2,2% Манго-Чіа стакан 260г ТМ Latti"/>
        <s v="Йогурт ст. десертний 2,2% 240 г Чіа-Ваніль Галичина"/>
        <s v="Йогурт &quot;Карпатський&quot; ст. десертний 2,2% 260 г Полуниця-Суниця Галичина"/>
        <s v="Йогурт &quot;Карпатський&quot; ст. десертний 2,2% 260 г Лісові Ягоди Галичина"/>
        <s v="Йогурт &quot;Карпатський&quot; ст. десертний 2,2% 260 г Лохина-Чорниця Галичина"/>
        <s v="Йогурт &quot;Карпатський&quot; ст. десертний 2,2% 260 г Чорнослив-Злаки Галичина"/>
        <s v="Йогурт &quot;Карпатський&quot; ст. десертний 2,2% 260 г Вишня-Черешня Галичина"/>
        <s v="Йогурт ст. десертний 2,2% 240 г Суниця-манго Галичина"/>
        <s v="Йогурт  Вишня-Черешня 1,2% ПЕТ 800г ТМ Своя Лінія"/>
        <s v="Йогурт  Персик-манго 1,2% ПЕТ 800г ТМ Своя Лінія"/>
        <s v="Йогурт  Полуниця 1,2% ПЕТ 800г ТМ Своя Лінія"/>
        <s v="кефір н/ф 2,5% м.ч.ж.2,5%(2,5%) М+П"/>
        <s v="сметана н/ф 15% м.ч.ж. 15,5% (15,0%) Марія"/>
        <s v="Йогурт десертнийн/ф (1,6) без цукру"/>
        <s v="кефір н/ф 1,5% м.ч.ж.(1,5%) М+П"/>
        <s v="сметана н/ф 15%м.ч.ж.14,5 безлактозна"/>
        <s v="сметана н/ф 15%м.ч.ж.15,0 безлактозна"/>
        <s v="Йогурт стакан н/ф 2,5% 280г 2,66%(2,4%) Марія"/>
        <s v="Йогурт стакан н/ф 2,5% 280г 2,51%(2,3%) Марія"/>
        <s v="Йогурт н/ф (2,2%) без цукру"/>
        <s v="Йогурт десертнийн/ф (3,0) без цукру"/>
        <s v="Йогурт стакан н/ф 2,5% 280г 2,29%(2,1%) Марія"/>
        <s v="Продукт сметанний н/ф 20% м.ч.ж.(14,0%)олія Марія"/>
        <s v="Продукт сметанний н/ф 20% м.ч.ж.(15,0%)олія Марія"/>
        <s v="ряжанка н/ф 4%м.ч.ж.(4,0%)"/>
        <s v="продукт сметаний  н/ф 20%м.ч.ж.(20,0%) олія "/>
        <s v="сметана н/ф 15% м.ч.ж.15,0%"/>
        <s v="сметана н/ф 20% м.ч.ж.19,5%"/>
        <s v="сметана н/ф 20% м.ч.ж.20,0%"/>
        <s v="Йогурт питний н/ф 1,2% м.ч.ж.1,64%(1,3%)М+П (150)"/>
        <s v="Йогурт питний н/ф 2,4% з м.ч.ж. 3,2%(2,4%) 200 М+П"/>
        <s v="Йогурт питний н/ф 2,4% з м.ч.ж. 3,33%(2,5%) 200 М+П"/>
        <s v="ряжанка н/ф 4% м.ч.ж. (3,7%)"/>
        <s v="Продукт сметанний н/ф 20% м.ч. ж.(20,13%)молоко(Марія)"/>
        <s v="ряжанка н/ф 4% м.ч.ж. (3,6%)"/>
        <s v="ряжанка н/ф 4% м.ч.ж. (3,5%)"/>
        <s v="Айран н/ф 0,8% мчж 1,2%(0,8) М+П"/>
        <s v="кефір н/ф 2,2%м.ч.ж. 2,2%(2,2%)ТЕРМОСТАТНИЙ"/>
        <s v="кефір н/ф 1,0% м.ч.ж.1,0%(1,0%) ТЕРМОСТ"/>
        <s v="Йогурт н/ф (2,2%)без цукру безлактозний"/>
        <s v="Йогурт десертнийн/ф(3,0%) без цукру безлактозний"/>
        <s v="кефір н/ф нежирний 0,8% Марія"/>
        <s v="Йогурт десертний н/ф (8,0)без цукру(8,1%) з вершками"/>
        <s v="кефір н/ф 1,1% м.ч.ж. (1,1%) М+П"/>
        <s v="Йогурт н/ф 1,0% м.ч.ж. (з наповнювачем) 0,72 (0,6%)М+П 100"/>
        <s v="Йогурт н/ф 1,0% м.ч.ж. (з наповнювачем) 0,84 (0,7%)М+П 100"/>
        <s v="Йогурт стакан н/ф 1,5 % 115 1,74%(1,6%)"/>
      </sharedItems>
    </cacheField>
    <cacheField name="Кількість закваски (результат розподілу)" numFmtId="0">
      <sharedItems containsString="0" containsBlank="1" containsNumber="1" minValue="2.6665130000000001E-3" maxValue="111.283593732"/>
    </cacheField>
    <cacheField name="Кількість продукта (результат розподілу)" numFmtId="0">
      <sharedItems containsString="0" containsBlank="1" containsNumber="1" containsInteger="1" minValue="1248" maxValue="1061732" count="121">
        <m/>
        <n v="50669"/>
        <n v="21936"/>
        <n v="1061732"/>
        <n v="111776"/>
        <n v="25944"/>
        <n v="3516"/>
        <n v="26532"/>
        <n v="13088"/>
        <n v="43608"/>
        <n v="263508"/>
        <n v="117785"/>
        <n v="29904"/>
        <n v="128711"/>
        <n v="123607"/>
        <n v="87358"/>
        <n v="189576"/>
        <n v="152128"/>
        <n v="307302"/>
        <n v="129820"/>
        <n v="13280"/>
        <n v="10010"/>
        <n v="10080"/>
        <n v="7288"/>
        <n v="7986"/>
        <n v="165552"/>
        <n v="153651"/>
        <n v="92915"/>
        <n v="39264"/>
        <n v="61124"/>
        <n v="89759"/>
        <n v="30312"/>
        <n v="98784"/>
        <n v="190030"/>
        <n v="68842"/>
        <n v="15888"/>
        <n v="10300"/>
        <n v="5000"/>
        <n v="7884"/>
        <n v="21336"/>
        <n v="34398"/>
        <n v="7770"/>
        <n v="48888"/>
        <n v="7026"/>
        <n v="2700"/>
        <n v="121798"/>
        <n v="324708"/>
        <n v="24400"/>
        <n v="24680"/>
        <n v="16910"/>
        <n v="11695"/>
        <n v="19720"/>
        <n v="26016"/>
        <n v="76960"/>
        <n v="111312"/>
        <n v="89440"/>
        <n v="164880"/>
        <n v="542180"/>
        <n v="85480"/>
        <n v="256992"/>
        <n v="146664"/>
        <n v="19495"/>
        <n v="7328"/>
        <n v="3650"/>
        <n v="4770"/>
        <n v="9290"/>
        <n v="14720"/>
        <n v="65714"/>
        <n v="9300"/>
        <n v="36622"/>
        <n v="16140"/>
        <n v="21630"/>
        <n v="20568"/>
        <n v="1248"/>
        <n v="89700"/>
        <n v="590970"/>
        <n v="165260"/>
        <n v="368740"/>
        <n v="182840"/>
        <n v="77860"/>
        <n v="158876"/>
        <n v="34280"/>
        <n v="20120"/>
        <n v="20360"/>
        <n v="26360"/>
        <n v="12612"/>
        <n v="21240"/>
        <n v="30660"/>
        <n v="111760"/>
        <n v="49620"/>
        <n v="92160"/>
        <n v="65724"/>
        <n v="42324"/>
        <n v="14532"/>
        <n v="18704"/>
        <n v="18152"/>
        <n v="34096"/>
        <n v="43440"/>
        <n v="74880"/>
        <n v="96912"/>
        <n v="13496"/>
        <n v="13348"/>
        <n v="2600"/>
        <n v="1448"/>
        <n v="2776"/>
        <n v="1440"/>
        <n v="20447"/>
        <n v="60464"/>
        <n v="40048"/>
        <n v="54120"/>
        <n v="38784"/>
        <n v="139776"/>
        <n v="96944"/>
        <n v="51486"/>
        <n v="63036"/>
        <n v="57438"/>
        <n v="37440"/>
        <n v="48456"/>
        <n v="30232"/>
        <n v="93184"/>
        <n v="48472"/>
      </sharedItems>
    </cacheField>
    <cacheField name="Кількість закваски (початок розподілу)" numFmtId="0">
      <sharedItems containsString="0" containsBlank="1" containsNumber="1" minValue="0.02" maxValue="280.55900000000003"/>
    </cacheField>
    <cacheField name="Кількість продукта (початок розподілу)" numFmtId="0">
      <sharedItems containsString="0" containsBlank="1" containsNumber="1" containsInteger="1" minValue="1700" maxValue="826315" count="44">
        <m/>
        <n v="764905"/>
        <n v="826315"/>
        <n v="6360"/>
        <n v="74380"/>
        <n v="76850"/>
        <n v="193850"/>
        <n v="200890"/>
        <n v="4020"/>
        <n v="4150"/>
        <n v="147060"/>
        <n v="140960"/>
        <n v="6100"/>
        <n v="192735"/>
        <n v="221490"/>
        <n v="226450"/>
        <n v="4010"/>
        <n v="6310"/>
        <n v="127556"/>
        <n v="121446"/>
        <n v="42370"/>
        <n v="4430"/>
        <n v="196450"/>
        <n v="12220"/>
        <n v="152100"/>
        <n v="178100"/>
        <n v="724269"/>
        <n v="108203"/>
        <n v="18440"/>
        <n v="1700"/>
        <n v="164840"/>
        <n v="18580"/>
        <n v="11867"/>
        <n v="9840"/>
        <n v="9161"/>
        <n v="63065"/>
        <n v="16140"/>
        <n v="102590"/>
        <n v="2200"/>
        <n v="107200"/>
        <n v="87200"/>
        <n v="258310"/>
        <n v="37700"/>
        <n v="872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m/>
    <x v="0"/>
    <x v="0"/>
    <m/>
    <x v="0"/>
    <m/>
    <x v="0"/>
  </r>
  <r>
    <x v="1"/>
    <s v="Закваска ST-BODI-3/25шт200од FD-DVS 668900"/>
    <x v="1"/>
    <x v="1"/>
    <n v="0.19236663200000001"/>
    <x v="1"/>
    <m/>
    <x v="0"/>
  </r>
  <r>
    <x v="1"/>
    <s v="Закваска ST-BODI-3/25шт200од FD-DVS 668900"/>
    <x v="2"/>
    <x v="2"/>
    <n v="9.1128218999999996E-2"/>
    <x v="2"/>
    <m/>
    <x v="0"/>
  </r>
  <r>
    <x v="1"/>
    <s v="Закваска ST-BODI-3/25шт200од FD-DVS 668900"/>
    <x v="3"/>
    <x v="3"/>
    <n v="5.8363626579999996"/>
    <x v="3"/>
    <m/>
    <x v="0"/>
  </r>
  <r>
    <x v="1"/>
    <s v="Закваска ST-BODI-3/25шт200од FD-DVS 668900"/>
    <x v="4"/>
    <x v="4"/>
    <n v="0.61443497199999997"/>
    <x v="4"/>
    <m/>
    <x v="0"/>
  </r>
  <r>
    <x v="1"/>
    <s v="Закваска ST-BODI-3/25шт200од FD-DVS 668900"/>
    <x v="5"/>
    <x v="5"/>
    <n v="0.20014584599999999"/>
    <x v="5"/>
    <m/>
    <x v="0"/>
  </r>
  <r>
    <x v="1"/>
    <s v="Закваска ST-BODI-3/25шт200од FD-DVS 668900"/>
    <x v="6"/>
    <x v="6"/>
    <n v="2.7124298000000002E-2"/>
    <x v="6"/>
    <m/>
    <x v="0"/>
  </r>
  <r>
    <x v="1"/>
    <s v="Закваска ST-BODI-3/25шт200од FD-DVS 668900"/>
    <x v="7"/>
    <x v="7"/>
    <n v="0.11022127600000001"/>
    <x v="7"/>
    <m/>
    <x v="0"/>
  </r>
  <r>
    <x v="1"/>
    <s v="Закваска ST-BODI-3/25шт200од FD-DVS 668900"/>
    <x v="8"/>
    <x v="8"/>
    <n v="5.4371177E-2"/>
    <x v="8"/>
    <m/>
    <x v="0"/>
  </r>
  <r>
    <x v="1"/>
    <s v="Закваска ST-BODI-3/25шт200од FD-DVS 668900"/>
    <x v="9"/>
    <x v="9"/>
    <n v="0.18115971"/>
    <x v="9"/>
    <m/>
    <x v="0"/>
  </r>
  <r>
    <x v="1"/>
    <s v="Закваска ST-BODI-3/25шт200од FD-DVS 668900"/>
    <x v="10"/>
    <x v="10"/>
    <n v="1.094685211"/>
    <x v="10"/>
    <m/>
    <x v="0"/>
  </r>
  <r>
    <x v="2"/>
    <s v="Закваска Premium 10 14штХ500од.F-DVS YoFlex   \    722303                                                      "/>
    <x v="11"/>
    <x v="11"/>
    <n v="0.40772456099999999"/>
    <x v="11"/>
    <m/>
    <x v="0"/>
  </r>
  <r>
    <x v="2"/>
    <s v="Закваска Premium 10 14штХ500од.F-DVS YoFlex   \    722303                                                      "/>
    <x v="12"/>
    <x v="12"/>
    <n v="0.15960364799999999"/>
    <x v="12"/>
    <m/>
    <x v="0"/>
  </r>
  <r>
    <x v="2"/>
    <s v="Закваска Premium 10 14штХ500од.F-DVS YoFlex   \    722303                                                      "/>
    <x v="13"/>
    <x v="13"/>
    <n v="0.68695643100000003"/>
    <x v="13"/>
    <m/>
    <x v="0"/>
  </r>
  <r>
    <x v="2"/>
    <s v="Закваска Premium 10 14штХ500од.F-DVS YoFlex   \    722303                                                      "/>
    <x v="14"/>
    <x v="14"/>
    <n v="0.659715359"/>
    <x v="14"/>
    <m/>
    <x v="0"/>
  </r>
  <r>
    <x v="3"/>
    <s v="закваска Premium 11/6x500UF-DVC FreshQ -726654"/>
    <x v="15"/>
    <x v="15"/>
    <n v="0.89613059900000003"/>
    <x v="15"/>
    <m/>
    <x v="0"/>
  </r>
  <r>
    <x v="3"/>
    <s v="закваска Premium 11/6x500UF-DVC FreshQ -726654"/>
    <x v="16"/>
    <x v="16"/>
    <n v="1.944697159"/>
    <x v="16"/>
    <m/>
    <x v="0"/>
  </r>
  <r>
    <x v="3"/>
    <s v="закваска Premium 11/6x500UF-DVC FreshQ -726654"/>
    <x v="17"/>
    <x v="17"/>
    <n v="1.560550331"/>
    <x v="17"/>
    <m/>
    <x v="0"/>
  </r>
  <r>
    <x v="3"/>
    <s v="закваска Premium 11/6x500UF-DVC FreshQ -726654"/>
    <x v="18"/>
    <x v="18"/>
    <n v="3.1523469550000001"/>
    <x v="18"/>
    <m/>
    <x v="0"/>
  </r>
  <r>
    <x v="3"/>
    <s v="закваска Premium 11/6x500UF-DVC FreshQ -726654"/>
    <x v="19"/>
    <x v="19"/>
    <n v="1.331711742"/>
    <x v="19"/>
    <m/>
    <x v="0"/>
  </r>
  <r>
    <x v="3"/>
    <s v="закваска Premium 11/6x500UF-DVC FreshQ -726654"/>
    <x v="20"/>
    <x v="20"/>
    <n v="0.15119537399999999"/>
    <x v="20"/>
    <m/>
    <x v="0"/>
  </r>
  <r>
    <x v="3"/>
    <s v="закваска Premium 11/6x500UF-DVC FreshQ -726654"/>
    <x v="21"/>
    <x v="21"/>
    <n v="0.113965789"/>
    <x v="21"/>
    <m/>
    <x v="0"/>
  </r>
  <r>
    <x v="3"/>
    <s v="закваска Premium 11/6x500UF-DVC FreshQ -726654"/>
    <x v="22"/>
    <x v="22"/>
    <n v="0.10340205199999999"/>
    <x v="22"/>
    <m/>
    <x v="0"/>
  </r>
  <r>
    <x v="4"/>
    <s v="Заквасочна культура  YO-MIX  885  LYO 500  DCU"/>
    <x v="23"/>
    <x v="23"/>
    <n v="1.011082362"/>
    <x v="23"/>
    <m/>
    <x v="0"/>
  </r>
  <r>
    <x v="4"/>
    <s v="Заквасочна культура  YO-MIX  885  LYO 500  DCU"/>
    <x v="24"/>
    <x v="24"/>
    <n v="1.107917638"/>
    <x v="24"/>
    <m/>
    <x v="0"/>
  </r>
  <r>
    <x v="5"/>
    <s v="Закваска F-DVS FreshQ   Mild203/12inX500од 727665                                                     "/>
    <x v="25"/>
    <x v="25"/>
    <n v="1.0328911759999999"/>
    <x v="25"/>
    <m/>
    <x v="0"/>
  </r>
  <r>
    <x v="5"/>
    <s v="Закваска F-DVS FreshQ   Mild203/12inX500од 727665                                                     "/>
    <x v="18"/>
    <x v="18"/>
    <n v="1.9472119800000001"/>
    <x v="26"/>
    <m/>
    <x v="0"/>
  </r>
  <r>
    <x v="5"/>
    <s v="Закваска F-DVS FreshQ   Mild203/12inX500од 727665                                                     "/>
    <x v="26"/>
    <x v="26"/>
    <n v="1.1775074759999999"/>
    <x v="27"/>
    <m/>
    <x v="0"/>
  </r>
  <r>
    <x v="5"/>
    <s v="Закваска F-DVS FreshQ   Mild203/12inX500од 727665                                                     "/>
    <x v="27"/>
    <x v="27"/>
    <n v="0.23025612300000001"/>
    <x v="28"/>
    <m/>
    <x v="0"/>
  </r>
  <r>
    <x v="5"/>
    <s v="Закваска F-DVS FreshQ   Mild203/12inX500од 727665                                                     "/>
    <x v="28"/>
    <x v="28"/>
    <n v="0.77462160999999996"/>
    <x v="29"/>
    <m/>
    <x v="0"/>
  </r>
  <r>
    <x v="5"/>
    <s v="Закваска F-DVS FreshQ   Mild203/12inX500од 727665                                                     "/>
    <x v="29"/>
    <x v="29"/>
    <n v="1.137511634"/>
    <x v="30"/>
    <m/>
    <x v="0"/>
  </r>
  <r>
    <x v="6"/>
    <s v="Закваска Premium 16\12штX500од F-DVS YoFlex  3789991"/>
    <x v="3"/>
    <x v="3"/>
    <n v="2.814057193"/>
    <x v="3"/>
    <m/>
    <x v="0"/>
  </r>
  <r>
    <x v="6"/>
    <s v="Закваска Premium 16\12штX500од F-DVS YoFlex  3789991"/>
    <x v="4"/>
    <x v="4"/>
    <n v="0.29625560499999998"/>
    <x v="4"/>
    <m/>
    <x v="0"/>
  </r>
  <r>
    <x v="6"/>
    <s v="Закваска Premium 16\12штX500од F-DVS YoFlex  3789991"/>
    <x v="5"/>
    <x v="5"/>
    <n v="9.0431660999999997E-2"/>
    <x v="5"/>
    <m/>
    <x v="0"/>
  </r>
  <r>
    <x v="6"/>
    <s v="Закваска Premium 16\12штX500од F-DVS YoFlex  3789991"/>
    <x v="6"/>
    <x v="6"/>
    <n v="1.2255540000000001E-2"/>
    <x v="6"/>
    <m/>
    <x v="0"/>
  </r>
  <r>
    <x v="7"/>
    <s v="Заквасочна культура DN LYO 2D"/>
    <x v="30"/>
    <x v="30"/>
    <n v="10.388497644999999"/>
    <x v="31"/>
    <m/>
    <x v="0"/>
  </r>
  <r>
    <x v="7"/>
    <s v="Заквасочна культура DN LYO 2D"/>
    <x v="31"/>
    <x v="31"/>
    <n v="33.855151468999999"/>
    <x v="32"/>
    <m/>
    <x v="0"/>
  </r>
  <r>
    <x v="7"/>
    <s v="Заквасочна культура DN LYO 2D"/>
    <x v="1"/>
    <x v="1"/>
    <n v="11.185015591000001"/>
    <x v="1"/>
    <m/>
    <x v="0"/>
  </r>
  <r>
    <x v="7"/>
    <s v="Заквасочна культура DN LYO 2D"/>
    <x v="2"/>
    <x v="2"/>
    <n v="5.7169345629999997"/>
    <x v="2"/>
    <m/>
    <x v="0"/>
  </r>
  <r>
    <x v="7"/>
    <s v="Заквасочна культура DN LYO 2D"/>
    <x v="32"/>
    <x v="32"/>
    <n v="90.794126754000004"/>
    <x v="33"/>
    <m/>
    <x v="0"/>
  </r>
  <r>
    <x v="7"/>
    <s v="Заквасочна культура DN LYO 2D"/>
    <x v="33"/>
    <x v="33"/>
    <n v="32.891907983000003"/>
    <x v="34"/>
    <m/>
    <x v="0"/>
  </r>
  <r>
    <x v="7"/>
    <s v="Заквасочна культура DN LYO 2D"/>
    <x v="34"/>
    <x v="34"/>
    <n v="5.4451191129999996"/>
    <x v="35"/>
    <m/>
    <x v="0"/>
  </r>
  <r>
    <x v="7"/>
    <s v="Заквасочна культура DN LYO 2D"/>
    <x v="35"/>
    <x v="35"/>
    <n v="4.9212203629999998"/>
    <x v="36"/>
    <m/>
    <x v="0"/>
  </r>
  <r>
    <x v="7"/>
    <s v="Заквасочна культура DN LYO 2D"/>
    <x v="36"/>
    <x v="36"/>
    <n v="1.713594888"/>
    <x v="37"/>
    <m/>
    <x v="0"/>
  </r>
  <r>
    <x v="7"/>
    <s v="Заквасочна культура DN LYO 2D"/>
    <x v="37"/>
    <x v="37"/>
    <n v="3.7668836259999998"/>
    <x v="38"/>
    <m/>
    <x v="0"/>
  </r>
  <r>
    <x v="7"/>
    <s v="Заквасочна культура DN LYO 2D"/>
    <x v="38"/>
    <x v="38"/>
    <n v="7.3122521029999996"/>
    <x v="39"/>
    <m/>
    <x v="0"/>
  </r>
  <r>
    <x v="7"/>
    <s v="Заквасочна культура DN LYO 2D"/>
    <x v="39"/>
    <x v="39"/>
    <n v="11.788847387000001"/>
    <x v="40"/>
    <m/>
    <x v="0"/>
  </r>
  <r>
    <x v="7"/>
    <s v="Заквасочна культура DN LYO 2D"/>
    <x v="7"/>
    <x v="7"/>
    <n v="6.9147386859999997"/>
    <x v="7"/>
    <m/>
    <x v="0"/>
  </r>
  <r>
    <x v="7"/>
    <s v="Заквасочна культура DN LYO 2D"/>
    <x v="40"/>
    <x v="40"/>
    <n v="8.6974405739999998"/>
    <x v="41"/>
    <m/>
    <x v="0"/>
  </r>
  <r>
    <x v="7"/>
    <s v="Заквасочна культура DN LYO 2D"/>
    <x v="41"/>
    <x v="41"/>
    <n v="16.754845370000002"/>
    <x v="42"/>
    <m/>
    <x v="0"/>
  </r>
  <r>
    <x v="7"/>
    <s v="Заквасочна культура DN LYO 2D"/>
    <x v="42"/>
    <x v="42"/>
    <n v="8.0141250050000004"/>
    <x v="43"/>
    <m/>
    <x v="0"/>
  </r>
  <r>
    <x v="7"/>
    <s v="Заквасочна культура DN LYO 2D"/>
    <x v="43"/>
    <x v="43"/>
    <n v="1.2900286379999999"/>
    <x v="44"/>
    <m/>
    <x v="0"/>
  </r>
  <r>
    <x v="7"/>
    <s v="Заквасочна культура DN LYO 2D"/>
    <x v="44"/>
    <x v="44"/>
    <n v="41.742486016000001"/>
    <x v="45"/>
    <m/>
    <x v="0"/>
  </r>
  <r>
    <x v="7"/>
    <s v="Заквасочна культура DN LYO 2D"/>
    <x v="8"/>
    <x v="8"/>
    <n v="3.410979191"/>
    <x v="8"/>
    <m/>
    <x v="0"/>
  </r>
  <r>
    <x v="7"/>
    <s v="Заквасочна культура DN LYO 2D"/>
    <x v="9"/>
    <x v="9"/>
    <n v="11.365065755"/>
    <x v="9"/>
    <m/>
    <x v="0"/>
  </r>
  <r>
    <x v="7"/>
    <s v="Заквасочна культура DN LYO 2D"/>
    <x v="10"/>
    <x v="10"/>
    <n v="68.675145549000007"/>
    <x v="10"/>
    <m/>
    <x v="0"/>
  </r>
  <r>
    <x v="7"/>
    <s v="Заквасочна культура DN LYO 2D"/>
    <x v="45"/>
    <x v="45"/>
    <n v="111.283593732"/>
    <x v="46"/>
    <m/>
    <x v="0"/>
  </r>
  <r>
    <x v="8"/>
    <s v="Заквасочна культура     Holdback YM-XPM  FRO 500 (Р)"/>
    <x v="46"/>
    <x v="46"/>
    <n v="0.65816032700000004"/>
    <x v="47"/>
    <m/>
    <x v="0"/>
  </r>
  <r>
    <x v="8"/>
    <s v="Заквасочна культура     Holdback YM-XPM  FRO 500 (Р)"/>
    <x v="47"/>
    <x v="47"/>
    <n v="0.66571298700000003"/>
    <x v="48"/>
    <m/>
    <x v="0"/>
  </r>
  <r>
    <x v="8"/>
    <s v="Заквасочна культура     Holdback YM-XPM  FRO 500 (Р)"/>
    <x v="48"/>
    <x v="48"/>
    <n v="0.456126686"/>
    <x v="49"/>
    <m/>
    <x v="0"/>
  </r>
  <r>
    <x v="9"/>
    <s v="Закваска ХТ-314 F-DVS 704769  10шт/500од"/>
    <x v="49"/>
    <x v="49"/>
    <n v="7.6590314000000007E-2"/>
    <x v="50"/>
    <m/>
    <x v="0"/>
  </r>
  <r>
    <x v="9"/>
    <s v="Закваска ХТ-314 F-DVS 704769  10шт/500од"/>
    <x v="30"/>
    <x v="30"/>
    <n v="0.11595124499999999"/>
    <x v="31"/>
    <m/>
    <x v="0"/>
  </r>
  <r>
    <x v="9"/>
    <s v="Закваска ХТ-314 F-DVS 704769  10шт/500од"/>
    <x v="31"/>
    <x v="31"/>
    <n v="0.37787436699999999"/>
    <x v="32"/>
    <m/>
    <x v="0"/>
  </r>
  <r>
    <x v="9"/>
    <s v="Закваска ХТ-314 F-DVS 704769  10шт/500од"/>
    <x v="50"/>
    <x v="50"/>
    <n v="0.12914587499999999"/>
    <x v="51"/>
    <m/>
    <x v="0"/>
  </r>
  <r>
    <x v="9"/>
    <s v="Закваска ХТ-314 F-DVS 704769  10шт/500од"/>
    <x v="1"/>
    <x v="1"/>
    <n v="0.23970623199999999"/>
    <x v="1"/>
    <m/>
    <x v="0"/>
  </r>
  <r>
    <x v="9"/>
    <s v="Закваска ХТ-314 F-DVS 704769  10шт/500од"/>
    <x v="2"/>
    <x v="2"/>
    <n v="0.10914908800000001"/>
    <x v="2"/>
    <m/>
    <x v="0"/>
  </r>
  <r>
    <x v="9"/>
    <s v="Закваска ХТ-314 F-DVS 704769  10шт/500од"/>
    <x v="51"/>
    <x v="51"/>
    <n v="0.148857084"/>
    <x v="52"/>
    <m/>
    <x v="0"/>
  </r>
  <r>
    <x v="9"/>
    <s v="Закваска ХТ-314 F-DVS 704769  10шт/500од"/>
    <x v="52"/>
    <x v="52"/>
    <n v="0.51402635500000005"/>
    <x v="53"/>
    <m/>
    <x v="0"/>
  </r>
  <r>
    <x v="9"/>
    <s v="Закваска ХТ-314 F-DVS 704769  10шт/500од"/>
    <x v="53"/>
    <x v="53"/>
    <n v="0.76141671600000005"/>
    <x v="54"/>
    <m/>
    <x v="0"/>
  </r>
  <r>
    <x v="9"/>
    <s v="Закваска ХТ-314 F-DVS 704769  10шт/500од"/>
    <x v="32"/>
    <x v="32"/>
    <n v="0.55837793000000002"/>
    <x v="33"/>
    <m/>
    <x v="0"/>
  </r>
  <r>
    <x v="9"/>
    <s v="Закваска ХТ-314 F-DVS 704769  10шт/500од"/>
    <x v="33"/>
    <x v="33"/>
    <n v="0.202283079"/>
    <x v="34"/>
    <m/>
    <x v="0"/>
  </r>
  <r>
    <x v="9"/>
    <s v="Закваска ХТ-314 F-DVS 704769  10шт/500од"/>
    <x v="54"/>
    <x v="54"/>
    <n v="0.59738197999999998"/>
    <x v="55"/>
    <m/>
    <x v="0"/>
  </r>
  <r>
    <x v="9"/>
    <s v="Закваска ХТ-314 F-DVS 704769  10шт/500од"/>
    <x v="55"/>
    <x v="55"/>
    <n v="1.0775714279999999"/>
    <x v="56"/>
    <m/>
    <x v="0"/>
  </r>
  <r>
    <x v="9"/>
    <s v="Закваска ХТ-314 F-DVS 704769  10шт/500од"/>
    <x v="56"/>
    <x v="56"/>
    <n v="2.2983997079999998"/>
    <x v="57"/>
    <m/>
    <x v="0"/>
  </r>
  <r>
    <x v="9"/>
    <s v="Закваска ХТ-314 F-DVS 704769  10шт/500од"/>
    <x v="34"/>
    <x v="34"/>
    <n v="6.0775712000000003E-2"/>
    <x v="35"/>
    <m/>
    <x v="0"/>
  </r>
  <r>
    <x v="9"/>
    <s v="Закваска ХТ-314 F-DVS 704769  10шт/500од"/>
    <x v="35"/>
    <x v="35"/>
    <n v="3.0265183000000001E-2"/>
    <x v="36"/>
    <m/>
    <x v="0"/>
  </r>
  <r>
    <x v="9"/>
    <s v="Закваска ХТ-314 F-DVS 704769  10шт/500од"/>
    <x v="36"/>
    <x v="36"/>
    <n v="1.9126293999999999E-2"/>
    <x v="37"/>
    <m/>
    <x v="0"/>
  </r>
  <r>
    <x v="9"/>
    <s v="Закваска ХТ-314 F-DVS 704769  10шт/500од"/>
    <x v="37"/>
    <x v="37"/>
    <n v="2.3166088000000001E-2"/>
    <x v="38"/>
    <m/>
    <x v="0"/>
  </r>
  <r>
    <x v="9"/>
    <s v="Закваска ХТ-314 F-DVS 704769  10шт/500од"/>
    <x v="57"/>
    <x v="57"/>
    <n v="0.57093259900000004"/>
    <x v="58"/>
    <m/>
    <x v="0"/>
  </r>
  <r>
    <x v="9"/>
    <s v="Закваска ХТ-314 F-DVS 704769  10шт/500од"/>
    <x v="38"/>
    <x v="38"/>
    <n v="8.1615722000000002E-2"/>
    <x v="39"/>
    <m/>
    <x v="0"/>
  </r>
  <r>
    <x v="9"/>
    <s v="Закваска ХТ-314 F-DVS 704769  10шт/500од"/>
    <x v="58"/>
    <x v="58"/>
    <n v="1.577699645"/>
    <x v="59"/>
    <m/>
    <x v="0"/>
  </r>
  <r>
    <x v="9"/>
    <s v="Закваска ХТ-314 F-DVS 704769  10шт/500од"/>
    <x v="59"/>
    <x v="59"/>
    <n v="0.95852096099999995"/>
    <x v="60"/>
    <m/>
    <x v="0"/>
  </r>
  <r>
    <x v="9"/>
    <s v="Закваска ХТ-314 F-DVS 704769  10шт/500од"/>
    <x v="39"/>
    <x v="39"/>
    <n v="0.13158125300000001"/>
    <x v="40"/>
    <m/>
    <x v="0"/>
  </r>
  <r>
    <x v="9"/>
    <s v="Закваска ХТ-314 F-DVS 704769  10шт/500од"/>
    <x v="7"/>
    <x v="7"/>
    <n v="0.13201785099999999"/>
    <x v="7"/>
    <m/>
    <x v="0"/>
  </r>
  <r>
    <x v="9"/>
    <s v="Закваска ХТ-314 F-DVS 704769  10шт/500од"/>
    <x v="41"/>
    <x v="41"/>
    <n v="0.18700925299999999"/>
    <x v="42"/>
    <m/>
    <x v="0"/>
  </r>
  <r>
    <x v="9"/>
    <s v="Закваска ХТ-314 F-DVS 704769  10шт/500од"/>
    <x v="43"/>
    <x v="43"/>
    <n v="7.9335919999999997E-3"/>
    <x v="44"/>
    <m/>
    <x v="0"/>
  </r>
  <r>
    <x v="9"/>
    <s v="Закваска ХТ-314 F-DVS 704769  10шт/500од"/>
    <x v="44"/>
    <x v="44"/>
    <n v="0.465908873"/>
    <x v="45"/>
    <m/>
    <x v="0"/>
  </r>
  <r>
    <x v="9"/>
    <s v="Закваска ХТ-314 F-DVS 704769  10шт/500од"/>
    <x v="8"/>
    <x v="8"/>
    <n v="6.5123234000000002E-2"/>
    <x v="8"/>
    <m/>
    <x v="0"/>
  </r>
  <r>
    <x v="9"/>
    <s v="Закваска ХТ-314 F-DVS 704769  10шт/500од"/>
    <x v="9"/>
    <x v="9"/>
    <n v="0.21698456399999999"/>
    <x v="9"/>
    <m/>
    <x v="0"/>
  </r>
  <r>
    <x v="9"/>
    <s v="Закваска ХТ-314 F-DVS 704769  10шт/500од"/>
    <x v="60"/>
    <x v="60"/>
    <n v="0.133353267"/>
    <x v="61"/>
    <m/>
    <x v="0"/>
  </r>
  <r>
    <x v="9"/>
    <s v="Закваска ХТ-314 F-DVS 704769  10шт/500од"/>
    <x v="10"/>
    <x v="10"/>
    <n v="1.311162369"/>
    <x v="10"/>
    <m/>
    <x v="0"/>
  </r>
  <r>
    <x v="9"/>
    <s v="Закваска ХТ-314 F-DVS 704769  10шт/500од"/>
    <x v="45"/>
    <x v="45"/>
    <n v="1.2420921380000001"/>
    <x v="46"/>
    <m/>
    <x v="0"/>
  </r>
  <r>
    <x v="10"/>
    <s v="Заквасочна культура  YO-MIX  PRIME 802 LYO 500 DCU  шт."/>
    <x v="61"/>
    <x v="61"/>
    <n v="0.66100000000000003"/>
    <x v="62"/>
    <m/>
    <x v="0"/>
  </r>
  <r>
    <x v="11"/>
    <s v="Заквасочна культура CHOOZIT BM/SC 504 FRO 500 DCU (Р)"/>
    <x v="40"/>
    <x v="40"/>
    <n v="1.9798267890000001"/>
    <x v="41"/>
    <m/>
    <x v="0"/>
  </r>
  <r>
    <x v="11"/>
    <s v="Заквасочна культура CHOOZIT BM/SC 504 FRO 500 DCU (Р)"/>
    <x v="42"/>
    <x v="42"/>
    <n v="1.8251732110000001"/>
    <x v="43"/>
    <m/>
    <x v="0"/>
  </r>
  <r>
    <x v="12"/>
    <s v="Закваска F-DVS YoFlex Creamy 1.0/14 720071 "/>
    <x v="51"/>
    <x v="51"/>
    <n v="8.2819139999999999E-2"/>
    <x v="52"/>
    <m/>
    <x v="0"/>
  </r>
  <r>
    <x v="12"/>
    <s v="Закваска F-DVS YoFlex Creamy 1.0/14 720071 "/>
    <x v="52"/>
    <x v="52"/>
    <n v="0.285013927"/>
    <x v="53"/>
    <m/>
    <x v="0"/>
  </r>
  <r>
    <x v="12"/>
    <s v="Закваска F-DVS YoFlex Creamy 1.0/14 720071 "/>
    <x v="53"/>
    <x v="53"/>
    <n v="0.42295230900000003"/>
    <x v="54"/>
    <m/>
    <x v="0"/>
  </r>
  <r>
    <x v="12"/>
    <s v="Закваска F-DVS YoFlex Creamy 1.0/14 720071 "/>
    <x v="54"/>
    <x v="54"/>
    <n v="0.33123240199999998"/>
    <x v="55"/>
    <m/>
    <x v="0"/>
  </r>
  <r>
    <x v="12"/>
    <s v="Закваска F-DVS YoFlex Creamy 1.0/14 720071 "/>
    <x v="55"/>
    <x v="55"/>
    <n v="0.59802146"/>
    <x v="56"/>
    <m/>
    <x v="0"/>
  </r>
  <r>
    <x v="12"/>
    <s v="Закваска F-DVS YoFlex Creamy 1.0/14 720071 "/>
    <x v="57"/>
    <x v="57"/>
    <n v="0.31656692400000003"/>
    <x v="58"/>
    <m/>
    <x v="0"/>
  </r>
  <r>
    <x v="12"/>
    <s v="Закваска F-DVS YoFlex Creamy 1.0/14 720071 "/>
    <x v="58"/>
    <x v="58"/>
    <n v="0.87036682799999998"/>
    <x v="59"/>
    <m/>
    <x v="0"/>
  </r>
  <r>
    <x v="12"/>
    <s v="Закваска F-DVS YoFlex Creamy 1.0/14 720071 "/>
    <x v="59"/>
    <x v="59"/>
    <n v="0.53195183999999995"/>
    <x v="60"/>
    <m/>
    <x v="0"/>
  </r>
  <r>
    <x v="12"/>
    <s v="Закваска F-DVS YoFlex Creamy 1.0/14 720071 "/>
    <x v="60"/>
    <x v="60"/>
    <n v="7.4075169999999996E-2"/>
    <x v="61"/>
    <m/>
    <x v="0"/>
  </r>
  <r>
    <x v="13"/>
    <s v="Закваска F-DVS YF-L   901\22шт.Х500од.724038"/>
    <x v="62"/>
    <x v="62"/>
    <n v="1.1623458999999999E-2"/>
    <x v="63"/>
    <m/>
    <x v="0"/>
  </r>
  <r>
    <x v="13"/>
    <s v="Закваска F-DVS YF-L   901\22шт.Х500од.724038"/>
    <x v="63"/>
    <x v="63"/>
    <n v="1.519011E-2"/>
    <x v="64"/>
    <m/>
    <x v="0"/>
  </r>
  <r>
    <x v="13"/>
    <s v="Закваска F-DVS YF-L   901\22шт.Х500од.724038"/>
    <x v="64"/>
    <x v="64"/>
    <n v="2.9584091999999999E-2"/>
    <x v="65"/>
    <m/>
    <x v="0"/>
  </r>
  <r>
    <x v="13"/>
    <s v="Закваска F-DVS YF-L   901\22шт.Х500од.724038"/>
    <x v="65"/>
    <x v="65"/>
    <n v="4.6875977999999999E-2"/>
    <x v="66"/>
    <m/>
    <x v="0"/>
  </r>
  <r>
    <x v="13"/>
    <s v="Закваска F-DVS YF-L   901\22шт.Х500од.724038"/>
    <x v="66"/>
    <x v="66"/>
    <n v="0.20148627299999999"/>
    <x v="67"/>
    <m/>
    <x v="0"/>
  </r>
  <r>
    <x v="13"/>
    <s v="Закваска F-DVS YF-L   901\22шт.Х500од.724038"/>
    <x v="67"/>
    <x v="67"/>
    <n v="2.9615936999999998E-2"/>
    <x v="68"/>
    <m/>
    <x v="0"/>
  </r>
  <r>
    <x v="13"/>
    <s v="Закваска F-DVS YF-L   901\22шт.Х500од.724038"/>
    <x v="68"/>
    <x v="68"/>
    <n v="0.11228703600000001"/>
    <x v="69"/>
    <m/>
    <x v="0"/>
  </r>
  <r>
    <x v="13"/>
    <s v="Закваска F-DVS YF-L   901\22шт.Х500од.724038"/>
    <x v="69"/>
    <x v="69"/>
    <n v="5.1397982000000002E-2"/>
    <x v="70"/>
    <m/>
    <x v="0"/>
  </r>
  <r>
    <x v="13"/>
    <s v="Закваска F-DVS YF-L   901\22шт.Х500од.724038"/>
    <x v="70"/>
    <x v="70"/>
    <n v="6.8880938000000003E-2"/>
    <x v="71"/>
    <m/>
    <x v="0"/>
  </r>
  <r>
    <x v="13"/>
    <s v="Закваска F-DVS YF-L   901\22шт.Х500од.724038"/>
    <x v="71"/>
    <x v="71"/>
    <n v="6.5498988999999994E-2"/>
    <x v="72"/>
    <m/>
    <x v="0"/>
  </r>
  <r>
    <x v="13"/>
    <s v="Закваска F-DVS YF-L   901\22шт.Х500од.724038"/>
    <x v="72"/>
    <x v="72"/>
    <n v="3.9742680000000004E-3"/>
    <x v="73"/>
    <m/>
    <x v="0"/>
  </r>
  <r>
    <x v="13"/>
    <s v="Закваска F-DVS YF-L   901\22шт.Х500од.724038"/>
    <x v="73"/>
    <x v="73"/>
    <n v="0.27502995899999999"/>
    <x v="74"/>
    <m/>
    <x v="0"/>
  </r>
  <r>
    <x v="13"/>
    <s v="Закваска F-DVS YF-L   901\22шт.Х500од.724038"/>
    <x v="74"/>
    <x v="74"/>
    <n v="1.8119783190000001"/>
    <x v="75"/>
    <m/>
    <x v="0"/>
  </r>
  <r>
    <x v="13"/>
    <s v="Закваска F-DVS YF-L   901\22шт.Х500од.724038"/>
    <x v="75"/>
    <x v="75"/>
    <n v="0.50670514"/>
    <x v="76"/>
    <m/>
    <x v="0"/>
  </r>
  <r>
    <x v="13"/>
    <s v="Закваска F-DVS YF-L   901\22шт.Х500од.724038"/>
    <x v="76"/>
    <x v="76"/>
    <n v="1.130596959"/>
    <x v="77"/>
    <m/>
    <x v="0"/>
  </r>
  <r>
    <x v="13"/>
    <s v="Закваска F-DVS YF-L   901\22шт.Х500од.724038"/>
    <x v="77"/>
    <x v="77"/>
    <n v="0.56060733299999999"/>
    <x v="78"/>
    <m/>
    <x v="0"/>
  </r>
  <r>
    <x v="13"/>
    <s v="Закваска F-DVS YF-L   901\22шт.Х500од.724038"/>
    <x v="78"/>
    <x v="78"/>
    <n v="0.23872723000000001"/>
    <x v="79"/>
    <m/>
    <x v="0"/>
  </r>
  <r>
    <x v="13"/>
    <s v="Закваска F-DVS YF-L   901\22шт.Х500од.724038"/>
    <x v="79"/>
    <x v="79"/>
    <n v="0.48713110100000001"/>
    <x v="80"/>
    <m/>
    <x v="0"/>
  </r>
  <r>
    <x v="13"/>
    <s v="Закваска F-DVS YF-L   901\22шт.Х500од.724038"/>
    <x v="80"/>
    <x v="80"/>
    <n v="0.10510621000000001"/>
    <x v="81"/>
    <m/>
    <x v="0"/>
  </r>
  <r>
    <x v="13"/>
    <s v="Закваска F-DVS YF-L   901\22шт.Х500од.724038"/>
    <x v="81"/>
    <x v="81"/>
    <n v="6.1690109E-2"/>
    <x v="82"/>
    <m/>
    <x v="0"/>
  </r>
  <r>
    <x v="13"/>
    <s v="Закваска F-DVS YF-L   901\22шт.Х500од.724038"/>
    <x v="82"/>
    <x v="82"/>
    <n v="6.2425975000000002E-2"/>
    <x v="83"/>
    <m/>
    <x v="0"/>
  </r>
  <r>
    <x v="13"/>
    <s v="Закваска F-DVS YF-L   901\22шт.Х500од.724038"/>
    <x v="83"/>
    <x v="83"/>
    <n v="8.0822627999999994E-2"/>
    <x v="84"/>
    <m/>
    <x v="0"/>
  </r>
  <r>
    <x v="13"/>
    <s v="Закваска F-DVS YF-L   901\22шт.Х500од.724038"/>
    <x v="84"/>
    <x v="84"/>
    <n v="3.8669765000000002E-2"/>
    <x v="85"/>
    <m/>
    <x v="0"/>
  </r>
  <r>
    <x v="13"/>
    <s v="Закваска F-DVS YF-L   901\22шт.Х500од.724038"/>
    <x v="85"/>
    <x v="85"/>
    <n v="6.5124150000000006E-2"/>
    <x v="86"/>
    <m/>
    <x v="0"/>
  </r>
  <r>
    <x v="13"/>
    <s v="Закваска F-DVS YF-L   901\22шт.Х500од.724038"/>
    <x v="86"/>
    <x v="86"/>
    <n v="9.4006894999999993E-2"/>
    <x v="87"/>
    <m/>
    <x v="0"/>
  </r>
  <r>
    <x v="13"/>
    <s v="Закваска F-DVS YF-L   901\22шт.Х500од.724038"/>
    <x v="87"/>
    <x v="87"/>
    <n v="0.34266832000000003"/>
    <x v="88"/>
    <m/>
    <x v="0"/>
  </r>
  <r>
    <x v="13"/>
    <s v="Закваска F-DVS YF-L   901\22шт.Х500од.724038"/>
    <x v="88"/>
    <x v="88"/>
    <n v="0.152140319"/>
    <x v="89"/>
    <m/>
    <x v="0"/>
  </r>
  <r>
    <x v="13"/>
    <s v="Закваска F-DVS YF-L   901\22шт.Х500од.724038"/>
    <x v="89"/>
    <x v="89"/>
    <n v="0.28257258800000001"/>
    <x v="90"/>
    <m/>
    <x v="0"/>
  </r>
  <r>
    <x v="13"/>
    <s v="Закваска F-DVS YF-L   901\22шт.Х500од.724038"/>
    <x v="90"/>
    <x v="90"/>
    <n v="0.20151693400000001"/>
    <x v="91"/>
    <m/>
    <x v="0"/>
  </r>
  <r>
    <x v="13"/>
    <s v="Закваска F-DVS YF-L   901\22шт.Х500од.724038"/>
    <x v="91"/>
    <x v="91"/>
    <n v="0.129769989"/>
    <x v="92"/>
    <m/>
    <x v="0"/>
  </r>
  <r>
    <x v="13"/>
    <s v="Закваска F-DVS YF-L   901\22шт.Х500од.724038"/>
    <x v="92"/>
    <x v="92"/>
    <n v="4.4556693000000001E-2"/>
    <x v="93"/>
    <m/>
    <x v="0"/>
  </r>
  <r>
    <x v="13"/>
    <s v="Закваска F-DVS YF-L   901\22шт.Х500од.724038"/>
    <x v="93"/>
    <x v="93"/>
    <n v="5.7348498999999997E-2"/>
    <x v="94"/>
    <m/>
    <x v="0"/>
  </r>
  <r>
    <x v="13"/>
    <s v="Закваска F-DVS YF-L   901\22шт.Х500од.724038"/>
    <x v="94"/>
    <x v="94"/>
    <n v="5.5656007E-2"/>
    <x v="95"/>
    <m/>
    <x v="0"/>
  </r>
  <r>
    <x v="13"/>
    <s v="Закваска F-DVS YF-L   901\22шт.Х500од.724038"/>
    <x v="95"/>
    <x v="95"/>
    <n v="0.104542046"/>
    <x v="96"/>
    <m/>
    <x v="0"/>
  </r>
  <r>
    <x v="13"/>
    <s v="Закваска F-DVS YF-L   901\22шт.Х500од.724038"/>
    <x v="96"/>
    <x v="96"/>
    <n v="0.13319176599999999"/>
    <x v="97"/>
    <m/>
    <x v="0"/>
  </r>
  <r>
    <x v="14"/>
    <s v="Закваска Premium 2/15штХ500 од F-DVS  YoFi  724039"/>
    <x v="97"/>
    <x v="97"/>
    <n v="0.234359187"/>
    <x v="98"/>
    <m/>
    <x v="0"/>
  </r>
  <r>
    <x v="14"/>
    <s v="Закваска Premium 2/15штХ500 од F-DVS  YoFi  724039"/>
    <x v="98"/>
    <x v="98"/>
    <n v="0.30331487099999999"/>
    <x v="99"/>
    <m/>
    <x v="0"/>
  </r>
  <r>
    <x v="14"/>
    <s v="Закваска Premium 2/15штХ500 од F-DVS  YoFi  724039"/>
    <x v="99"/>
    <x v="99"/>
    <n v="4.7848331000000001E-2"/>
    <x v="100"/>
    <m/>
    <x v="0"/>
  </r>
  <r>
    <x v="14"/>
    <s v="Закваска Premium 2/15штХ500 од F-DVS  YoFi  724039"/>
    <x v="100"/>
    <x v="100"/>
    <n v="7.5644042999999994E-2"/>
    <x v="39"/>
    <m/>
    <x v="0"/>
  </r>
  <r>
    <x v="14"/>
    <s v="Закваска Premium 2/15штХ500 од F-DVS  YoFi  724039"/>
    <x v="101"/>
    <x v="101"/>
    <n v="4.7323615999999999E-2"/>
    <x v="101"/>
    <m/>
    <x v="0"/>
  </r>
  <r>
    <x v="14"/>
    <s v="Закваска Premium 2/15штХ500 од F-DVS  YoFi  724039"/>
    <x v="102"/>
    <x v="102"/>
    <n v="9.2179659999999993E-3"/>
    <x v="102"/>
    <m/>
    <x v="0"/>
  </r>
  <r>
    <x v="14"/>
    <s v="Закваска Premium 2/15штХ500 од F-DVS  YoFi  724039"/>
    <x v="103"/>
    <x v="103"/>
    <n v="5.1336969999999996E-3"/>
    <x v="103"/>
    <m/>
    <x v="0"/>
  </r>
  <r>
    <x v="14"/>
    <s v="Закваска Premium 2/15штХ500 од F-DVS  YoFi  724039"/>
    <x v="104"/>
    <x v="104"/>
    <n v="9.8419509999999998E-3"/>
    <x v="104"/>
    <m/>
    <x v="0"/>
  </r>
  <r>
    <x v="14"/>
    <s v="Закваска Premium 2/15штХ500 од F-DVS  YoFi  724039"/>
    <x v="105"/>
    <x v="105"/>
    <n v="5.1053339999999996E-3"/>
    <x v="105"/>
    <m/>
    <x v="0"/>
  </r>
  <r>
    <x v="14"/>
    <s v="Закваска Premium 2/15штХ500 од F-DVS  YoFi  724039"/>
    <x v="106"/>
    <x v="106"/>
    <n v="7.2492208000000002E-2"/>
    <x v="106"/>
    <m/>
    <x v="0"/>
  </r>
  <r>
    <x v="14"/>
    <s v="Закваска Premium 2/15штХ500 од F-DVS  YoFi  724039"/>
    <x v="107"/>
    <x v="107"/>
    <n v="0.189240036"/>
    <x v="107"/>
    <m/>
    <x v="0"/>
  </r>
  <r>
    <x v="14"/>
    <s v="Закваска Premium 2/15штХ500 од F-DVS  YoFi  724039"/>
    <x v="108"/>
    <x v="108"/>
    <n v="0.13729766099999999"/>
    <x v="108"/>
    <m/>
    <x v="0"/>
  </r>
  <r>
    <x v="14"/>
    <s v="Закваска Premium 2/15штХ500 од F-DVS  YoFi  724039"/>
    <x v="109"/>
    <x v="109"/>
    <n v="0.19187549800000001"/>
    <x v="109"/>
    <m/>
    <x v="0"/>
  </r>
  <r>
    <x v="14"/>
    <s v="Закваска Premium 2/15штХ500 од F-DVS  YoFi  724039"/>
    <x v="110"/>
    <x v="110"/>
    <n v="0.132964256"/>
    <x v="110"/>
    <m/>
    <x v="0"/>
  </r>
  <r>
    <x v="14"/>
    <s v="Закваска Premium 2/15штХ500 од F-DVS  YoFi  724039"/>
    <x v="111"/>
    <x v="111"/>
    <n v="0.44592632100000001"/>
    <x v="111"/>
    <m/>
    <x v="0"/>
  </r>
  <r>
    <x v="14"/>
    <s v="Закваска Premium 2/15штХ500 од F-DVS  YoFi  724039"/>
    <x v="112"/>
    <x v="112"/>
    <n v="0.30341502399999998"/>
    <x v="112"/>
    <m/>
    <x v="0"/>
  </r>
  <r>
    <x v="15"/>
    <s v="Заквасочна культура Holdback YM-CPlus  LYO 500 DCV"/>
    <x v="62"/>
    <x v="62"/>
    <n v="0.19681965100000001"/>
    <x v="63"/>
    <m/>
    <x v="0"/>
  </r>
  <r>
    <x v="15"/>
    <s v="Заквасочна культура Holdback YM-CPlus  LYO 500 DCV"/>
    <x v="63"/>
    <x v="63"/>
    <n v="0.257213627"/>
    <x v="64"/>
    <m/>
    <x v="0"/>
  </r>
  <r>
    <x v="15"/>
    <s v="Заквасочна культура Holdback YM-CPlus  LYO 500 DCV"/>
    <x v="64"/>
    <x v="64"/>
    <n v="0.50094645500000001"/>
    <x v="65"/>
    <m/>
    <x v="0"/>
  </r>
  <r>
    <x v="15"/>
    <s v="Заквасочна культура Holdback YM-CPlus  LYO 500 DCV"/>
    <x v="65"/>
    <x v="65"/>
    <n v="0.79374938900000003"/>
    <x v="66"/>
    <m/>
    <x v="0"/>
  </r>
  <r>
    <x v="15"/>
    <s v="Заквасочна культура Holdback YM-CPlus  LYO 500 DCV"/>
    <x v="113"/>
    <x v="113"/>
    <n v="3.3892546289999999"/>
    <x v="113"/>
    <m/>
    <x v="0"/>
  </r>
  <r>
    <x v="15"/>
    <s v="Заквасочна культура Holdback YM-CPlus  LYO 500 DCV"/>
    <x v="114"/>
    <x v="114"/>
    <n v="4.1495757050000002"/>
    <x v="114"/>
    <m/>
    <x v="0"/>
  </r>
  <r>
    <x v="15"/>
    <s v="Заквасочна культура Holdback YM-CPlus  LYO 500 DCV"/>
    <x v="115"/>
    <x v="115"/>
    <n v="3.7810668409999999"/>
    <x v="115"/>
    <m/>
    <x v="0"/>
  </r>
  <r>
    <x v="15"/>
    <s v="Заквасочна культура Holdback YM-CPlus  LYO 500 DCV"/>
    <x v="23"/>
    <x v="23"/>
    <n v="0.245570606"/>
    <x v="23"/>
    <m/>
    <x v="0"/>
  </r>
  <r>
    <x v="15"/>
    <s v="Заквасочна культура Holdback YM-CPlus  LYO 500 DCV"/>
    <x v="24"/>
    <x v="24"/>
    <n v="0.26908985400000002"/>
    <x v="24"/>
    <m/>
    <x v="0"/>
  </r>
  <r>
    <x v="15"/>
    <s v="Заквасочна культура Holdback YM-CPlus  LYO 500 DCV"/>
    <x v="97"/>
    <x v="97"/>
    <n v="3.8399293640000001"/>
    <x v="98"/>
    <m/>
    <x v="0"/>
  </r>
  <r>
    <x v="15"/>
    <s v="Заквасочна культура Holdback YM-CPlus  LYO 500 DCV"/>
    <x v="98"/>
    <x v="98"/>
    <n v="4.9697547330000003"/>
    <x v="99"/>
    <m/>
    <x v="0"/>
  </r>
  <r>
    <x v="15"/>
    <s v="Заквасочна культура Holdback YM-CPlus  LYO 500 DCV"/>
    <x v="66"/>
    <x v="66"/>
    <n v="3.4119216940000001"/>
    <x v="67"/>
    <m/>
    <x v="0"/>
  </r>
  <r>
    <x v="15"/>
    <s v="Заквасочна культура Holdback YM-CPlus  LYO 500 DCV"/>
    <x v="67"/>
    <x v="67"/>
    <n v="0.50148568699999996"/>
    <x v="68"/>
    <m/>
    <x v="0"/>
  </r>
  <r>
    <x v="15"/>
    <s v="Заквасочна культура Holdback YM-CPlus  LYO 500 DCV"/>
    <x v="68"/>
    <x v="68"/>
    <n v="1.9014425580000001"/>
    <x v="69"/>
    <m/>
    <x v="0"/>
  </r>
  <r>
    <x v="15"/>
    <s v="Заквасочна культура Holdback YM-CPlus  LYO 500 DCV"/>
    <x v="69"/>
    <x v="69"/>
    <n v="0.87032032199999998"/>
    <x v="70"/>
    <m/>
    <x v="0"/>
  </r>
  <r>
    <x v="15"/>
    <s v="Заквасочна культура Holdback YM-CPlus  LYO 500 DCV"/>
    <x v="70"/>
    <x v="70"/>
    <n v="1.166358647"/>
    <x v="71"/>
    <m/>
    <x v="0"/>
  </r>
  <r>
    <x v="15"/>
    <s v="Заквасочна культура Holdback YM-CPlus  LYO 500 DCV"/>
    <x v="71"/>
    <x v="71"/>
    <n v="1.1090922169999999"/>
    <x v="72"/>
    <m/>
    <x v="0"/>
  </r>
  <r>
    <x v="15"/>
    <s v="Заквасочна культура Holdback YM-CPlus  LYO 500 DCV"/>
    <x v="99"/>
    <x v="99"/>
    <n v="0.75582720400000003"/>
    <x v="100"/>
    <m/>
    <x v="0"/>
  </r>
  <r>
    <x v="15"/>
    <s v="Заквасочна культура Holdback YM-CPlus  LYO 500 DCV"/>
    <x v="100"/>
    <x v="100"/>
    <n v="1.1948969490000001"/>
    <x v="39"/>
    <m/>
    <x v="0"/>
  </r>
  <r>
    <x v="15"/>
    <s v="Заквасочна культура Holdback YM-CPlus  LYO 500 DCV"/>
    <x v="101"/>
    <x v="101"/>
    <n v="0.74753864199999998"/>
    <x v="101"/>
    <m/>
    <x v="0"/>
  </r>
  <r>
    <x v="15"/>
    <s v="Заквасочна культура Holdback YM-CPlus  LYO 500 DCV"/>
    <x v="51"/>
    <x v="51"/>
    <n v="0.85326802599999996"/>
    <x v="52"/>
    <m/>
    <x v="0"/>
  </r>
  <r>
    <x v="15"/>
    <s v="Заквасочна культура Holdback YM-CPlus  LYO 500 DCV"/>
    <x v="102"/>
    <x v="102"/>
    <n v="0.145609865"/>
    <x v="102"/>
    <m/>
    <x v="0"/>
  </r>
  <r>
    <x v="15"/>
    <s v="Заквасочна культура Holdback YM-CPlus  LYO 500 DCV"/>
    <x v="52"/>
    <x v="52"/>
    <n v="2.9531668280000001"/>
    <x v="53"/>
    <m/>
    <x v="0"/>
  </r>
  <r>
    <x v="15"/>
    <s v="Заквасочна культура Holdback YM-CPlus  LYO 500 DCV"/>
    <x v="53"/>
    <x v="53"/>
    <n v="4.378785079"/>
    <x v="54"/>
    <m/>
    <x v="0"/>
  </r>
  <r>
    <x v="15"/>
    <s v="Заквасочна культура Holdback YM-CPlus  LYO 500 DCV"/>
    <x v="103"/>
    <x v="103"/>
    <n v="8.1093494000000002E-2"/>
    <x v="103"/>
    <m/>
    <x v="0"/>
  </r>
  <r>
    <x v="15"/>
    <s v="Заквасочна культура Holdback YM-CPlus  LYO 500 DCV"/>
    <x v="104"/>
    <x v="104"/>
    <n v="0.15546653199999999"/>
    <x v="104"/>
    <m/>
    <x v="0"/>
  </r>
  <r>
    <x v="15"/>
    <s v="Заквасочна культура Holdback YM-CPlus  LYO 500 DCV"/>
    <x v="105"/>
    <x v="105"/>
    <n v="8.0645463000000001E-2"/>
    <x v="105"/>
    <m/>
    <x v="0"/>
  </r>
  <r>
    <x v="15"/>
    <s v="Заквасочна культура Holdback YM-CPlus  LYO 500 DCV"/>
    <x v="106"/>
    <x v="106"/>
    <n v="1.1451095760000001"/>
    <x v="106"/>
    <m/>
    <x v="0"/>
  </r>
  <r>
    <x v="15"/>
    <s v="Заквасочна культура Holdback YM-CPlus  LYO 500 DCV"/>
    <x v="107"/>
    <x v="107"/>
    <n v="3.1006609119999999"/>
    <x v="107"/>
    <m/>
    <x v="0"/>
  </r>
  <r>
    <x v="15"/>
    <s v="Заквасочна культура Holdback YM-CPlus  LYO 500 DCV"/>
    <x v="72"/>
    <x v="72"/>
    <n v="6.7296144000000002E-2"/>
    <x v="73"/>
    <m/>
    <x v="0"/>
  </r>
  <r>
    <x v="15"/>
    <s v="Заквасочна культура Holdback YM-CPlus  LYO 500 DCV"/>
    <x v="54"/>
    <x v="54"/>
    <n v="3.4320587470000001"/>
    <x v="55"/>
    <m/>
    <x v="0"/>
  </r>
  <r>
    <x v="15"/>
    <s v="Заквасочна культура Holdback YM-CPlus  LYO 500 DCV"/>
    <x v="55"/>
    <x v="55"/>
    <n v="6.2048100399999999"/>
    <x v="56"/>
    <m/>
    <x v="0"/>
  </r>
  <r>
    <x v="15"/>
    <s v="Заквасочна культура Holdback YM-CPlus  LYO 500 DCV"/>
    <x v="108"/>
    <x v="108"/>
    <n v="2.2525580239999998"/>
    <x v="108"/>
    <m/>
    <x v="0"/>
  </r>
  <r>
    <x v="15"/>
    <s v="Заквасочна культура Holdback YM-CPlus  LYO 500 DCV"/>
    <x v="109"/>
    <x v="109"/>
    <n v="3.0309253319999998"/>
    <x v="109"/>
    <m/>
    <x v="0"/>
  </r>
  <r>
    <x v="15"/>
    <s v="Заквасочна культура Holdback YM-CPlus  LYO 500 DCV"/>
    <x v="110"/>
    <x v="110"/>
    <n v="2.1814625059999999"/>
    <x v="110"/>
    <m/>
    <x v="0"/>
  </r>
  <r>
    <x v="15"/>
    <s v="Заквасочна культура Holdback YM-CPlus  LYO 500 DCV"/>
    <x v="73"/>
    <x v="73"/>
    <n v="4.6572933599999997"/>
    <x v="74"/>
    <m/>
    <x v="0"/>
  </r>
  <r>
    <x v="15"/>
    <s v="Заквасочна культура Holdback YM-CPlus  LYO 500 DCV"/>
    <x v="74"/>
    <x v="74"/>
    <n v="30.683619362000002"/>
    <x v="75"/>
    <m/>
    <x v="0"/>
  </r>
  <r>
    <x v="15"/>
    <s v="Заквасочна культура Holdback YM-CPlus  LYO 500 DCV"/>
    <x v="75"/>
    <x v="75"/>
    <n v="8.5804269850000008"/>
    <x v="76"/>
    <m/>
    <x v="0"/>
  </r>
  <r>
    <x v="15"/>
    <s v="Заквасочна культура Holdback YM-CPlus  LYO 500 DCV"/>
    <x v="76"/>
    <x v="76"/>
    <n v="19.145265925"/>
    <x v="77"/>
    <m/>
    <x v="0"/>
  </r>
  <r>
    <x v="15"/>
    <s v="Заквасочна культура Holdback YM-CPlus  LYO 500 DCV"/>
    <x v="77"/>
    <x v="77"/>
    <n v="9.4931941789999996"/>
    <x v="78"/>
    <m/>
    <x v="0"/>
  </r>
  <r>
    <x v="15"/>
    <s v="Заквасочна культура Holdback YM-CPlus  LYO 500 DCV"/>
    <x v="78"/>
    <x v="78"/>
    <n v="4.0425514050000002"/>
    <x v="79"/>
    <m/>
    <x v="0"/>
  </r>
  <r>
    <x v="15"/>
    <s v="Заквасочна культура Holdback YM-CPlus  LYO 500 DCV"/>
    <x v="79"/>
    <x v="79"/>
    <n v="8.2489647690000005"/>
    <x v="80"/>
    <m/>
    <x v="0"/>
  </r>
  <r>
    <x v="15"/>
    <s v="Заквасочна культура Holdback YM-CPlus  LYO 500 DCV"/>
    <x v="57"/>
    <x v="57"/>
    <n v="3.280102657"/>
    <x v="58"/>
    <m/>
    <x v="0"/>
  </r>
  <r>
    <x v="15"/>
    <s v="Заквасочна культура Holdback YM-CPlus  LYO 500 DCV"/>
    <x v="80"/>
    <x v="80"/>
    <n v="1.779844107"/>
    <x v="81"/>
    <m/>
    <x v="0"/>
  </r>
  <r>
    <x v="15"/>
    <s v="Заквасочна культура Holdback YM-CPlus  LYO 500 DCV"/>
    <x v="81"/>
    <x v="81"/>
    <n v="1.044645957"/>
    <x v="82"/>
    <m/>
    <x v="0"/>
  </r>
  <r>
    <x v="15"/>
    <s v="Заквасочна культура Holdback YM-CPlus  LYO 500 DCV"/>
    <x v="82"/>
    <x v="82"/>
    <n v="1.057106943"/>
    <x v="83"/>
    <m/>
    <x v="0"/>
  </r>
  <r>
    <x v="15"/>
    <s v="Заквасочна культура Holdback YM-CPlus  LYO 500 DCV"/>
    <x v="83"/>
    <x v="83"/>
    <n v="1.368631583"/>
    <x v="84"/>
    <m/>
    <x v="0"/>
  </r>
  <r>
    <x v="15"/>
    <s v="Заквасочна культура Holdback YM-CPlus  LYO 500 DCV"/>
    <x v="84"/>
    <x v="84"/>
    <n v="0.65482479299999996"/>
    <x v="85"/>
    <m/>
    <x v="0"/>
  </r>
  <r>
    <x v="15"/>
    <s v="Заквасочна культура Holdback YM-CPlus  LYO 500 DCV"/>
    <x v="85"/>
    <x v="85"/>
    <n v="1.102797223"/>
    <x v="86"/>
    <m/>
    <x v="0"/>
  </r>
  <r>
    <x v="15"/>
    <s v="Заквасочна культура Holdback YM-CPlus  LYO 500 DCV"/>
    <x v="86"/>
    <x v="86"/>
    <n v="1.5918909080000001"/>
    <x v="87"/>
    <m/>
    <x v="0"/>
  </r>
  <r>
    <x v="15"/>
    <s v="Заквасочна культура Holdback YM-CPlus  LYO 500 DCV"/>
    <x v="58"/>
    <x v="58"/>
    <n v="9.0485894160000004"/>
    <x v="59"/>
    <m/>
    <x v="0"/>
  </r>
  <r>
    <x v="15"/>
    <s v="Заквасочна культура Holdback YM-CPlus  LYO 500 DCV"/>
    <x v="59"/>
    <x v="59"/>
    <n v="5.5193004590000001"/>
    <x v="60"/>
    <m/>
    <x v="0"/>
  </r>
  <r>
    <x v="15"/>
    <s v="Заквасочна культура Holdback YM-CPlus  LYO 500 DCV"/>
    <x v="87"/>
    <x v="87"/>
    <n v="5.8026656179999998"/>
    <x v="88"/>
    <m/>
    <x v="0"/>
  </r>
  <r>
    <x v="15"/>
    <s v="Заквасочна культура Holdback YM-CPlus  LYO 500 DCV"/>
    <x v="111"/>
    <x v="111"/>
    <n v="7.4105196429999998"/>
    <x v="111"/>
    <m/>
    <x v="0"/>
  </r>
  <r>
    <x v="15"/>
    <s v="Заквасочна культура Holdback YM-CPlus  LYO 500 DCV"/>
    <x v="11"/>
    <x v="11"/>
    <n v="7.7159098420000003"/>
    <x v="11"/>
    <m/>
    <x v="0"/>
  </r>
  <r>
    <x v="15"/>
    <s v="Заквасочна культура Holdback YM-CPlus  LYO 500 DCV"/>
    <x v="12"/>
    <x v="12"/>
    <n v="3.0316708619999999"/>
    <x v="12"/>
    <m/>
    <x v="0"/>
  </r>
  <r>
    <x v="15"/>
    <s v="Заквасочна культура Holdback YM-CPlus  LYO 500 DCV"/>
    <x v="88"/>
    <x v="88"/>
    <n v="2.5763087690000002"/>
    <x v="89"/>
    <m/>
    <x v="0"/>
  </r>
  <r>
    <x v="15"/>
    <s v="Заквасочна культура Holdback YM-CPlus  LYO 500 DCV"/>
    <x v="89"/>
    <x v="89"/>
    <n v="4.785018462"/>
    <x v="90"/>
    <m/>
    <x v="0"/>
  </r>
  <r>
    <x v="15"/>
    <s v="Заквасочна культура Holdback YM-CPlus  LYO 500 DCV"/>
    <x v="90"/>
    <x v="90"/>
    <n v="3.4124409010000001"/>
    <x v="91"/>
    <m/>
    <x v="0"/>
  </r>
  <r>
    <x v="15"/>
    <s v="Заквасочна культура Holdback YM-CPlus  LYO 500 DCV"/>
    <x v="91"/>
    <x v="91"/>
    <n v="2.1974948059999999"/>
    <x v="92"/>
    <m/>
    <x v="0"/>
  </r>
  <r>
    <x v="15"/>
    <s v="Заквасочна культура Holdback YM-CPlus  LYO 500 DCV"/>
    <x v="92"/>
    <x v="92"/>
    <n v="0.75451267700000002"/>
    <x v="93"/>
    <m/>
    <x v="0"/>
  </r>
  <r>
    <x v="15"/>
    <s v="Заквасочна культура Holdback YM-CPlus  LYO 500 DCV"/>
    <x v="93"/>
    <x v="93"/>
    <n v="0.97112614200000003"/>
    <x v="94"/>
    <m/>
    <x v="0"/>
  </r>
  <r>
    <x v="15"/>
    <s v="Заквасочна культура Holdback YM-CPlus  LYO 500 DCV"/>
    <x v="94"/>
    <x v="94"/>
    <n v="0.94246587699999995"/>
    <x v="95"/>
    <m/>
    <x v="0"/>
  </r>
  <r>
    <x v="15"/>
    <s v="Заквасочна культура Holdback YM-CPlus  LYO 500 DCV"/>
    <x v="13"/>
    <x v="13"/>
    <n v="13.048735561999999"/>
    <x v="13"/>
    <m/>
    <x v="0"/>
  </r>
  <r>
    <x v="15"/>
    <s v="Заквасочна культура Holdback YM-CPlus  LYO 500 DCV"/>
    <x v="95"/>
    <x v="95"/>
    <n v="1.7702906839999999"/>
    <x v="96"/>
    <m/>
    <x v="0"/>
  </r>
  <r>
    <x v="15"/>
    <s v="Заквасочна культура Holdback YM-CPlus  LYO 500 DCV"/>
    <x v="96"/>
    <x v="96"/>
    <n v="2.2554383900000001"/>
    <x v="97"/>
    <m/>
    <x v="0"/>
  </r>
  <r>
    <x v="15"/>
    <s v="Заквасочна культура Holdback YM-CPlus  LYO 500 DCV"/>
    <x v="14"/>
    <x v="14"/>
    <n v="12.531291473"/>
    <x v="14"/>
    <m/>
    <x v="0"/>
  </r>
  <r>
    <x v="15"/>
    <s v="Заквасочна культура Holdback YM-CPlus  LYO 500 DCV"/>
    <x v="60"/>
    <x v="60"/>
    <n v="0.76689319300000003"/>
    <x v="61"/>
    <m/>
    <x v="0"/>
  </r>
  <r>
    <x v="15"/>
    <s v="Заквасочна культура Holdback YM-CPlus  LYO 500 DCV"/>
    <x v="112"/>
    <x v="112"/>
    <n v="4.9713957290000002"/>
    <x v="112"/>
    <m/>
    <x v="0"/>
  </r>
  <r>
    <x v="16"/>
    <s v="Закваска ST- BODY-4/22 шт.Х 500 од.F-DVS 724302"/>
    <x v="30"/>
    <x v="30"/>
    <n v="0.19493613000000001"/>
    <x v="31"/>
    <m/>
    <x v="0"/>
  </r>
  <r>
    <x v="16"/>
    <s v="Закваска ST- BODY-4/22 шт.Х 500 од.F-DVS 724302"/>
    <x v="31"/>
    <x v="31"/>
    <n v="0.63527878900000001"/>
    <x v="32"/>
    <m/>
    <x v="0"/>
  </r>
  <r>
    <x v="16"/>
    <s v="Закваска ST- BODY-4/22 шт.Х 500 од.F-DVS 724302"/>
    <x v="1"/>
    <x v="1"/>
    <n v="7.8401094000000005E-2"/>
    <x v="1"/>
    <m/>
    <x v="0"/>
  </r>
  <r>
    <x v="16"/>
    <s v="Закваска ST- BODY-4/22 шт.Х 500 од.F-DVS 724302"/>
    <x v="25"/>
    <x v="25"/>
    <n v="0.47248371"/>
    <x v="25"/>
    <m/>
    <x v="0"/>
  </r>
  <r>
    <x v="16"/>
    <s v="Закваска ST- BODY-4/22 шт.Х 500 од.F-DVS 724302"/>
    <x v="2"/>
    <x v="2"/>
    <n v="3.5528641999999999E-2"/>
    <x v="2"/>
    <m/>
    <x v="0"/>
  </r>
  <r>
    <x v="16"/>
    <s v="Закваска ST- BODY-4/22 шт.Х 500 од.F-DVS 724302"/>
    <x v="18"/>
    <x v="18"/>
    <n v="0.87211157699999997"/>
    <x v="26"/>
    <m/>
    <x v="0"/>
  </r>
  <r>
    <x v="16"/>
    <s v="Закваска ST- BODY-4/22 шт.Х 500 од.F-DVS 724302"/>
    <x v="32"/>
    <x v="32"/>
    <n v="0.93394929299999996"/>
    <x v="33"/>
    <m/>
    <x v="0"/>
  </r>
  <r>
    <x v="16"/>
    <s v="Закваска ST- BODY-4/22 шт.Х 500 од.F-DVS 724302"/>
    <x v="33"/>
    <x v="33"/>
    <n v="0.33834098400000001"/>
    <x v="34"/>
    <m/>
    <x v="0"/>
  </r>
  <r>
    <x v="16"/>
    <s v="Закваска ST- BODY-4/22 шт.Х 500 од.F-DVS 724302"/>
    <x v="34"/>
    <x v="34"/>
    <n v="0.102175549"/>
    <x v="35"/>
    <m/>
    <x v="0"/>
  </r>
  <r>
    <x v="16"/>
    <s v="Закваска ST- BODY-4/22 шт.Х 500 од.F-DVS 724302"/>
    <x v="35"/>
    <x v="35"/>
    <n v="5.0621889000000003E-2"/>
    <x v="36"/>
    <m/>
    <x v="0"/>
  </r>
  <r>
    <x v="16"/>
    <s v="Закваска ST- BODY-4/22 шт.Х 500 од.F-DVS 724302"/>
    <x v="36"/>
    <x v="36"/>
    <n v="3.2154943999999998E-2"/>
    <x v="37"/>
    <m/>
    <x v="0"/>
  </r>
  <r>
    <x v="16"/>
    <s v="Закваска ST- BODY-4/22 шт.Х 500 од.F-DVS 724302"/>
    <x v="37"/>
    <x v="37"/>
    <n v="3.8747862000000001E-2"/>
    <x v="38"/>
    <m/>
    <x v="0"/>
  </r>
  <r>
    <x v="16"/>
    <s v="Закваска ST- BODY-4/22 шт.Х 500 од.F-DVS 724302"/>
    <x v="38"/>
    <x v="38"/>
    <n v="0.137211575"/>
    <x v="39"/>
    <m/>
    <x v="0"/>
  </r>
  <r>
    <x v="16"/>
    <s v="Закваска ST- BODY-4/22 шт.Х 500 од.F-DVS 724302"/>
    <x v="39"/>
    <x v="39"/>
    <n v="0.22121315"/>
    <x v="40"/>
    <m/>
    <x v="0"/>
  </r>
  <r>
    <x v="16"/>
    <s v="Закваска ST- BODY-4/22 шт.Х 500 од.F-DVS 724302"/>
    <x v="7"/>
    <x v="7"/>
    <n v="4.2972555000000003E-2"/>
    <x v="7"/>
    <m/>
    <x v="0"/>
  </r>
  <r>
    <x v="16"/>
    <s v="Закваска ST- BODY-4/22 шт.Х 500 од.F-DVS 724302"/>
    <x v="26"/>
    <x v="26"/>
    <n v="0.52737858699999995"/>
    <x v="27"/>
    <m/>
    <x v="0"/>
  </r>
  <r>
    <x v="16"/>
    <s v="Закваска ST- BODY-4/22 шт.Х 500 од.F-DVS 724302"/>
    <x v="41"/>
    <x v="41"/>
    <n v="0.31439817599999997"/>
    <x v="42"/>
    <m/>
    <x v="0"/>
  </r>
  <r>
    <x v="16"/>
    <s v="Закваска ST- BODY-4/22 шт.Х 500 од.F-DVS 724302"/>
    <x v="27"/>
    <x v="27"/>
    <n v="0.100676591"/>
    <x v="28"/>
    <m/>
    <x v="0"/>
  </r>
  <r>
    <x v="16"/>
    <s v="Закваска ST- BODY-4/22 шт.Х 500 од.F-DVS 724302"/>
    <x v="11"/>
    <x v="11"/>
    <n v="0.22674504600000001"/>
    <x v="11"/>
    <m/>
    <x v="0"/>
  </r>
  <r>
    <x v="16"/>
    <s v="Закваска ST- BODY-4/22 шт.Х 500 од.F-DVS 724302"/>
    <x v="43"/>
    <x v="43"/>
    <n v="1.3269816E-2"/>
    <x v="44"/>
    <m/>
    <x v="0"/>
  </r>
  <r>
    <x v="16"/>
    <s v="Закваска ST- BODY-4/22 шт.Х 500 од.F-DVS 724302"/>
    <x v="12"/>
    <x v="12"/>
    <n v="8.7936545000000005E-2"/>
    <x v="12"/>
    <m/>
    <x v="0"/>
  </r>
  <r>
    <x v="16"/>
    <s v="Закваска ST- BODY-4/22 шт.Х 500 од.F-DVS 724302"/>
    <x v="13"/>
    <x v="13"/>
    <n v="0.37849119199999998"/>
    <x v="13"/>
    <m/>
    <x v="0"/>
  </r>
  <r>
    <x v="16"/>
    <s v="Закваска ST- BODY-4/22 шт.Х 500 од.F-DVS 724302"/>
    <x v="28"/>
    <x v="28"/>
    <n v="0.34693524999999997"/>
    <x v="29"/>
    <m/>
    <x v="0"/>
  </r>
  <r>
    <x v="16"/>
    <s v="Закваска ST- BODY-4/22 шт.Х 500 од.F-DVS 724302"/>
    <x v="44"/>
    <x v="44"/>
    <n v="0.78328156400000004"/>
    <x v="45"/>
    <m/>
    <x v="0"/>
  </r>
  <r>
    <x v="16"/>
    <s v="Закваска ST- BODY-4/22 шт.Х 500 од.F-DVS 724302"/>
    <x v="14"/>
    <x v="14"/>
    <n v="0.36348222699999999"/>
    <x v="14"/>
    <m/>
    <x v="0"/>
  </r>
  <r>
    <x v="16"/>
    <s v="Закваска ST- BODY-4/22 шт.Х 500 од.F-DVS 724302"/>
    <x v="29"/>
    <x v="29"/>
    <n v="0.509465367"/>
    <x v="30"/>
    <m/>
    <x v="0"/>
  </r>
  <r>
    <x v="16"/>
    <s v="Закваска ST- BODY-4/22 шт.Х 500 од.F-DVS 724302"/>
    <x v="8"/>
    <x v="8"/>
    <n v="2.1197980000000002E-2"/>
    <x v="8"/>
    <m/>
    <x v="0"/>
  </r>
  <r>
    <x v="16"/>
    <s v="Закваска ST- BODY-4/22 шт.Х 500 од.F-DVS 724302"/>
    <x v="9"/>
    <x v="9"/>
    <n v="7.0629699000000004E-2"/>
    <x v="9"/>
    <m/>
    <x v="0"/>
  </r>
  <r>
    <x v="16"/>
    <s v="Закваска ST- BODY-4/22 шт.Х 500 од.F-DVS 724302"/>
    <x v="10"/>
    <x v="10"/>
    <n v="0.42679073499999998"/>
    <x v="10"/>
    <m/>
    <x v="0"/>
  </r>
  <r>
    <x v="16"/>
    <s v="Закваска ST- BODY-4/22 шт.Х 500 од.F-DVS 724302"/>
    <x v="45"/>
    <x v="45"/>
    <n v="2.0881934850000001"/>
    <x v="46"/>
    <m/>
    <x v="0"/>
  </r>
  <r>
    <x v="17"/>
    <s v="Закваска Premium 11\14штХ500од F-DVS  YoFlex  722865                  "/>
    <x v="113"/>
    <x v="113"/>
    <n v="0.70787814299999996"/>
    <x v="113"/>
    <m/>
    <x v="0"/>
  </r>
  <r>
    <x v="17"/>
    <s v="Закваска Premium 11\14штХ500од F-DVS  YoFlex  722865                  "/>
    <x v="114"/>
    <x v="114"/>
    <n v="0.86667844900000002"/>
    <x v="114"/>
    <m/>
    <x v="0"/>
  </r>
  <r>
    <x v="17"/>
    <s v="Закваска Premium 11\14штХ500од F-DVS  YoFlex  722865                  "/>
    <x v="115"/>
    <x v="115"/>
    <n v="0.78971185899999996"/>
    <x v="115"/>
    <m/>
    <x v="0"/>
  </r>
  <r>
    <x v="17"/>
    <s v="Закваска Premium 11\14штХ500од F-DVS  YoFlex  722865                  "/>
    <x v="46"/>
    <x v="46"/>
    <n v="8.3464916E-2"/>
    <x v="47"/>
    <m/>
    <x v="0"/>
  </r>
  <r>
    <x v="17"/>
    <s v="Закваска Premium 11\14штХ500од F-DVS  YoFlex  722865                  "/>
    <x v="47"/>
    <x v="47"/>
    <n v="8.4422709999999998E-2"/>
    <x v="48"/>
    <m/>
    <x v="0"/>
  </r>
  <r>
    <x v="17"/>
    <s v="Закваска Premium 11\14штХ500од F-DVS  YoFlex  722865                  "/>
    <x v="48"/>
    <x v="48"/>
    <n v="5.7843923999999998E-2"/>
    <x v="49"/>
    <m/>
    <x v="0"/>
  </r>
  <r>
    <x v="18"/>
    <s v="Закваска F-DVS Yoflex Creamy 2.0\12штX5  724303                    "/>
    <x v="49"/>
    <x v="49"/>
    <n v="6.6308441999999995E-2"/>
    <x v="50"/>
    <m/>
    <x v="0"/>
  </r>
  <r>
    <x v="18"/>
    <s v="Закваска F-DVS Yoflex Creamy 2.0\12штX5  724303                    "/>
    <x v="50"/>
    <x v="50"/>
    <n v="0.111808676"/>
    <x v="51"/>
    <m/>
    <x v="0"/>
  </r>
  <r>
    <x v="18"/>
    <s v="Закваска F-DVS Yoflex Creamy 2.0\12штX5  724303                    "/>
    <x v="97"/>
    <x v="97"/>
    <n v="6.9329335000000006E-2"/>
    <x v="116"/>
    <m/>
    <x v="0"/>
  </r>
  <r>
    <x v="18"/>
    <s v="Закваска F-DVS Yoflex Creamy 2.0\12штX5  724303                    "/>
    <x v="98"/>
    <x v="98"/>
    <n v="8.9728158000000002E-2"/>
    <x v="117"/>
    <m/>
    <x v="0"/>
  </r>
  <r>
    <x v="18"/>
    <s v="Закваска F-DVS Yoflex Creamy 2.0\12штX5  724303                    "/>
    <x v="99"/>
    <x v="99"/>
    <n v="2.4991151E-2"/>
    <x v="100"/>
    <m/>
    <x v="0"/>
  </r>
  <r>
    <x v="18"/>
    <s v="Закваска F-DVS Yoflex Creamy 2.0\12штX5  724303                    "/>
    <x v="100"/>
    <x v="100"/>
    <n v="3.9508833E-2"/>
    <x v="39"/>
    <m/>
    <x v="0"/>
  </r>
  <r>
    <x v="18"/>
    <s v="Закваска F-DVS Yoflex Creamy 2.0\12штX5  724303                    "/>
    <x v="101"/>
    <x v="101"/>
    <n v="2.4717092999999999E-2"/>
    <x v="101"/>
    <m/>
    <x v="0"/>
  </r>
  <r>
    <x v="18"/>
    <s v="Закваска F-DVS Yoflex Creamy 2.0\12штX5  724303                    "/>
    <x v="102"/>
    <x v="102"/>
    <n v="4.8145369999999998E-3"/>
    <x v="102"/>
    <m/>
    <x v="0"/>
  </r>
  <r>
    <x v="18"/>
    <s v="Закваска F-DVS Yoflex Creamy 2.0\12штX5  724303                    "/>
    <x v="103"/>
    <x v="103"/>
    <n v="2.6813269999999998E-3"/>
    <x v="103"/>
    <m/>
    <x v="0"/>
  </r>
  <r>
    <x v="18"/>
    <s v="Закваска F-DVS Yoflex Creamy 2.0\12штX5  724303                    "/>
    <x v="104"/>
    <x v="104"/>
    <n v="5.1404440000000001E-3"/>
    <x v="104"/>
    <m/>
    <x v="0"/>
  </r>
  <r>
    <x v="18"/>
    <s v="Закваска F-DVS Yoflex Creamy 2.0\12штX5  724303                    "/>
    <x v="105"/>
    <x v="105"/>
    <n v="2.6665130000000001E-3"/>
    <x v="105"/>
    <m/>
    <x v="0"/>
  </r>
  <r>
    <x v="18"/>
    <s v="Закваска F-DVS Yoflex Creamy 2.0\12штX5  724303                    "/>
    <x v="106"/>
    <x v="106"/>
    <n v="3.7862631000000001E-2"/>
    <x v="106"/>
    <m/>
    <x v="0"/>
  </r>
  <r>
    <x v="18"/>
    <s v="Закваска F-DVS Yoflex Creamy 2.0\12штX5  724303                    "/>
    <x v="107"/>
    <x v="107"/>
    <n v="5.5981955999999999E-2"/>
    <x v="118"/>
    <m/>
    <x v="0"/>
  </r>
  <r>
    <x v="18"/>
    <s v="Закваска F-DVS Yoflex Creamy 2.0\12штX5  724303                    "/>
    <x v="108"/>
    <x v="108"/>
    <n v="7.5764116000000006E-2"/>
    <x v="108"/>
    <m/>
    <x v="0"/>
  </r>
  <r>
    <x v="18"/>
    <s v="Закваска F-DVS Yoflex Creamy 2.0\12штX5  724303                    "/>
    <x v="109"/>
    <x v="109"/>
    <n v="0.100216442"/>
    <x v="109"/>
    <m/>
    <x v="0"/>
  </r>
  <r>
    <x v="18"/>
    <s v="Закваска F-DVS Yoflex Creamy 2.0\12штX5  724303                    "/>
    <x v="110"/>
    <x v="110"/>
    <n v="7.3372838999999995E-2"/>
    <x v="110"/>
    <m/>
    <x v="0"/>
  </r>
  <r>
    <x v="18"/>
    <s v="Закваска F-DVS Yoflex Creamy 2.0\12штX5  724303                    "/>
    <x v="56"/>
    <x v="56"/>
    <n v="2.1140611850000002"/>
    <x v="57"/>
    <m/>
    <x v="0"/>
  </r>
  <r>
    <x v="18"/>
    <s v="Закваска F-DVS Yoflex Creamy 2.0\12штX5  724303                    "/>
    <x v="111"/>
    <x v="111"/>
    <n v="0.176288537"/>
    <x v="119"/>
    <m/>
    <x v="0"/>
  </r>
  <r>
    <x v="18"/>
    <s v="Закваска F-DVS Yoflex Creamy 2.0\12штX5  724303                    "/>
    <x v="112"/>
    <x v="112"/>
    <n v="8.9757786000000006E-2"/>
    <x v="120"/>
    <m/>
    <x v="0"/>
  </r>
  <r>
    <x v="0"/>
    <m/>
    <x v="0"/>
    <x v="0"/>
    <m/>
    <x v="0"/>
    <m/>
    <x v="0"/>
  </r>
  <r>
    <x v="7"/>
    <s v="Заквасочна культура DN LYO 2D"/>
    <x v="116"/>
    <x v="116"/>
    <m/>
    <x v="0"/>
    <n v="280.55900000000003"/>
    <x v="1"/>
  </r>
  <r>
    <x v="9"/>
    <s v="Закваска ХТ-314 F-DVS 704769  10шт/500од"/>
    <x v="116"/>
    <x v="116"/>
    <m/>
    <x v="0"/>
    <n v="3.8380000000000001"/>
    <x v="2"/>
  </r>
  <r>
    <x v="16"/>
    <s v="Закваска ST- BODY-4/22 шт.Х 500 од.F-DVS 724302"/>
    <x v="116"/>
    <x v="116"/>
    <m/>
    <x v="0"/>
    <n v="5.2190000000000003"/>
    <x v="2"/>
  </r>
  <r>
    <x v="9"/>
    <s v="Закваска ХТ-314 F-DVS 704769  10шт/500од"/>
    <x v="117"/>
    <x v="117"/>
    <m/>
    <x v="0"/>
    <n v="0.107"/>
    <x v="3"/>
  </r>
  <r>
    <x v="12"/>
    <s v="Закваска F-DVS YoFlex Creamy 1.0/14 720071 "/>
    <x v="117"/>
    <x v="117"/>
    <m/>
    <x v="0"/>
    <n v="5.8000000000000003E-2"/>
    <x v="3"/>
  </r>
  <r>
    <x v="15"/>
    <s v="Заквасочна культура Holdback YM-CPlus  LYO 500 DCV"/>
    <x v="117"/>
    <x v="117"/>
    <m/>
    <x v="0"/>
    <n v="0.625"/>
    <x v="3"/>
  </r>
  <r>
    <x v="5"/>
    <s v="Закваска F-DVS FreshQ   Mild203/12inX500од 727665                                                     "/>
    <x v="118"/>
    <x v="118"/>
    <m/>
    <x v="0"/>
    <n v="1.5"/>
    <x v="4"/>
  </r>
  <r>
    <x v="16"/>
    <s v="Закваска ST- BODY-4/22 шт.Х 500 од.F-DVS 724302"/>
    <x v="118"/>
    <x v="118"/>
    <m/>
    <x v="0"/>
    <n v="0.53900000000000003"/>
    <x v="5"/>
  </r>
  <r>
    <x v="7"/>
    <s v="Заквасочна культура DN LYO 2D"/>
    <x v="119"/>
    <x v="119"/>
    <m/>
    <x v="0"/>
    <n v="135.721"/>
    <x v="6"/>
  </r>
  <r>
    <x v="9"/>
    <s v="Закваска ХТ-314 F-DVS 704769  10шт/500од"/>
    <x v="119"/>
    <x v="119"/>
    <m/>
    <x v="0"/>
    <n v="1.0229999999999999"/>
    <x v="7"/>
  </r>
  <r>
    <x v="16"/>
    <s v="Закваска ST- BODY-4/22 шт.Х 500 од.F-DVS 724302"/>
    <x v="119"/>
    <x v="119"/>
    <m/>
    <x v="0"/>
    <n v="1.3839999999999999"/>
    <x v="7"/>
  </r>
  <r>
    <x v="9"/>
    <s v="Закваска ХТ-314 F-DVS 704769  10шт/500од"/>
    <x v="120"/>
    <x v="120"/>
    <m/>
    <x v="0"/>
    <n v="6.9000000000000006E-2"/>
    <x v="8"/>
  </r>
  <r>
    <x v="12"/>
    <s v="Закваска F-DVS YoFlex Creamy 1.0/14 720071 "/>
    <x v="120"/>
    <x v="120"/>
    <m/>
    <x v="0"/>
    <n v="3.7999999999999999E-2"/>
    <x v="8"/>
  </r>
  <r>
    <x v="15"/>
    <s v="Заквасочна культура Holdback YM-CPlus  LYO 500 DCV"/>
    <x v="120"/>
    <x v="120"/>
    <m/>
    <x v="0"/>
    <n v="0.40300000000000002"/>
    <x v="8"/>
  </r>
  <r>
    <x v="9"/>
    <s v="Закваска ХТ-314 F-DVS 704769  10шт/500од"/>
    <x v="121"/>
    <x v="121"/>
    <m/>
    <x v="0"/>
    <n v="7.0999999999999994E-2"/>
    <x v="9"/>
  </r>
  <r>
    <x v="12"/>
    <s v="Закваска F-DVS YoFlex Creamy 1.0/14 720071 "/>
    <x v="121"/>
    <x v="121"/>
    <m/>
    <x v="0"/>
    <n v="3.9E-2"/>
    <x v="9"/>
  </r>
  <r>
    <x v="15"/>
    <s v="Заквасочна культура Holdback YM-CPlus  LYO 500 DCV"/>
    <x v="121"/>
    <x v="121"/>
    <m/>
    <x v="0"/>
    <n v="0.41599999999999998"/>
    <x v="9"/>
  </r>
  <r>
    <x v="14"/>
    <s v="Закваска Premium 2/15штХ500 од F-DVS  YoFi  724039"/>
    <x v="122"/>
    <x v="122"/>
    <m/>
    <x v="0"/>
    <n v="2.0880000000000001"/>
    <x v="10"/>
  </r>
  <r>
    <x v="15"/>
    <s v="Заквасочна культура Holdback YM-CPlus  LYO 500 DCV"/>
    <x v="122"/>
    <x v="122"/>
    <m/>
    <x v="0"/>
    <n v="31.96"/>
    <x v="10"/>
  </r>
  <r>
    <x v="18"/>
    <s v="Закваска F-DVS Yoflex Creamy 2.0\12штX5  724303                    "/>
    <x v="122"/>
    <x v="122"/>
    <m/>
    <x v="0"/>
    <n v="1.2969999999999999"/>
    <x v="11"/>
  </r>
  <r>
    <x v="14"/>
    <s v="Закваска Premium 2/15штХ500 од F-DVS  YoFi  724039"/>
    <x v="123"/>
    <x v="123"/>
    <m/>
    <x v="0"/>
    <n v="7.3999999999999996E-2"/>
    <x v="12"/>
  </r>
  <r>
    <x v="15"/>
    <s v="Заквасочна культура Holdback YM-CPlus  LYO 500 DCV"/>
    <x v="123"/>
    <x v="123"/>
    <m/>
    <x v="0"/>
    <n v="1.23"/>
    <x v="12"/>
  </r>
  <r>
    <x v="2"/>
    <s v="Закваска Premium 10 14штХ500од.F-DVS YoFlex   \    722303                                                      "/>
    <x v="124"/>
    <x v="124"/>
    <m/>
    <x v="0"/>
    <n v="1.4590000000000001"/>
    <x v="13"/>
  </r>
  <r>
    <x v="15"/>
    <s v="Заквасочна культура Holdback YM-CPlus  LYO 500 DCV"/>
    <x v="124"/>
    <x v="124"/>
    <m/>
    <x v="0"/>
    <n v="40.628"/>
    <x v="13"/>
  </r>
  <r>
    <x v="16"/>
    <s v="Закваска ST- BODY-4/22 шт.Х 500 од.F-DVS 724302"/>
    <x v="124"/>
    <x v="124"/>
    <m/>
    <x v="0"/>
    <n v="0.93400000000000005"/>
    <x v="13"/>
  </r>
  <r>
    <x v="5"/>
    <s v="Закваска F-DVS FreshQ   Mild203/12inX500од 727665                                                     "/>
    <x v="125"/>
    <x v="125"/>
    <m/>
    <x v="0"/>
    <n v="4.4710000000000001"/>
    <x v="14"/>
  </r>
  <r>
    <x v="16"/>
    <s v="Закваска ST- BODY-4/22 шт.Х 500 од.F-DVS 724302"/>
    <x v="125"/>
    <x v="125"/>
    <m/>
    <x v="0"/>
    <n v="1.573"/>
    <x v="15"/>
  </r>
  <r>
    <x v="14"/>
    <s v="Закваска Premium 2/15штХ500 од F-DVS  YoFi  724039"/>
    <x v="126"/>
    <x v="126"/>
    <m/>
    <x v="0"/>
    <n v="4.9000000000000002E-2"/>
    <x v="16"/>
  </r>
  <r>
    <x v="15"/>
    <s v="Заквасочна культура Holdback YM-CPlus  LYO 500 DCV"/>
    <x v="126"/>
    <x v="126"/>
    <m/>
    <x v="0"/>
    <n v="0.81"/>
    <x v="16"/>
  </r>
  <r>
    <x v="18"/>
    <s v="Закваска F-DVS Yoflex Creamy 2.0\12штX5  724303                    "/>
    <x v="126"/>
    <x v="126"/>
    <m/>
    <x v="0"/>
    <n v="3.4000000000000002E-2"/>
    <x v="16"/>
  </r>
  <r>
    <x v="9"/>
    <s v="Закваска ХТ-314 F-DVS 704769  10шт/500од"/>
    <x v="127"/>
    <x v="127"/>
    <m/>
    <x v="0"/>
    <n v="7.0000000000000007E-2"/>
    <x v="17"/>
  </r>
  <r>
    <x v="18"/>
    <s v="Закваска F-DVS Yoflex Creamy 2.0\12штX5  724303                    "/>
    <x v="127"/>
    <x v="127"/>
    <m/>
    <x v="0"/>
    <n v="0.08"/>
    <x v="17"/>
  </r>
  <r>
    <x v="9"/>
    <s v="Закваска ХТ-314 F-DVS 704769  10шт/500од"/>
    <x v="128"/>
    <x v="128"/>
    <m/>
    <x v="0"/>
    <n v="1.54"/>
    <x v="18"/>
  </r>
  <r>
    <x v="18"/>
    <s v="Закваска F-DVS Yoflex Creamy 2.0\12штX5  724303                    "/>
    <x v="128"/>
    <x v="128"/>
    <m/>
    <x v="0"/>
    <n v="1.67"/>
    <x v="19"/>
  </r>
  <r>
    <x v="1"/>
    <s v="Закваска ST-BODI-3/25шт200од FD-DVS 668900"/>
    <x v="129"/>
    <x v="129"/>
    <m/>
    <x v="0"/>
    <n v="0.97899999999999998"/>
    <x v="20"/>
  </r>
  <r>
    <x v="6"/>
    <s v="Закваска Premium 16\12штX500од F-DVS YoFlex  3789991"/>
    <x v="129"/>
    <x v="129"/>
    <m/>
    <x v="0"/>
    <n v="0.52"/>
    <x v="20"/>
  </r>
  <r>
    <x v="9"/>
    <s v="Закваска ХТ-314 F-DVS 704769  10шт/500од"/>
    <x v="130"/>
    <x v="130"/>
    <m/>
    <x v="0"/>
    <n v="4.9000000000000002E-2"/>
    <x v="21"/>
  </r>
  <r>
    <x v="18"/>
    <s v="Закваска F-DVS Yoflex Creamy 2.0\12штX5  724303                    "/>
    <x v="130"/>
    <x v="130"/>
    <m/>
    <x v="0"/>
    <n v="5.3999999999999999E-2"/>
    <x v="21"/>
  </r>
  <r>
    <x v="9"/>
    <s v="Закваска ХТ-314 F-DVS 704769  10шт/500од"/>
    <x v="131"/>
    <x v="131"/>
    <m/>
    <x v="0"/>
    <n v="3.355"/>
    <x v="22"/>
  </r>
  <r>
    <x v="12"/>
    <s v="Закваска F-DVS YoFlex Creamy 1.0/14 720071 "/>
    <x v="131"/>
    <x v="131"/>
    <m/>
    <x v="0"/>
    <n v="1.839"/>
    <x v="22"/>
  </r>
  <r>
    <x v="15"/>
    <s v="Заквасочна культура Holdback YM-CPlus  LYO 500 DCV"/>
    <x v="131"/>
    <x v="131"/>
    <m/>
    <x v="0"/>
    <n v="19.670999999999999"/>
    <x v="22"/>
  </r>
  <r>
    <x v="9"/>
    <s v="Закваска ХТ-314 F-DVS 704769  10шт/500од"/>
    <x v="132"/>
    <x v="132"/>
    <m/>
    <x v="0"/>
    <n v="0.20799999999999999"/>
    <x v="23"/>
  </r>
  <r>
    <x v="12"/>
    <s v="Закваска F-DVS YoFlex Creamy 1.0/14 720071 "/>
    <x v="132"/>
    <x v="132"/>
    <m/>
    <x v="0"/>
    <n v="0.114"/>
    <x v="23"/>
  </r>
  <r>
    <x v="15"/>
    <s v="Заквасочна культура Holdback YM-CPlus  LYO 500 DCV"/>
    <x v="132"/>
    <x v="132"/>
    <m/>
    <x v="0"/>
    <n v="1.224"/>
    <x v="23"/>
  </r>
  <r>
    <x v="9"/>
    <s v="Закваска ХТ-314 F-DVS 704769  10шт/500од"/>
    <x v="133"/>
    <x v="133"/>
    <m/>
    <x v="0"/>
    <n v="2.5950000000000002"/>
    <x v="24"/>
  </r>
  <r>
    <x v="12"/>
    <s v="Закваска F-DVS YoFlex Creamy 1.0/14 720071 "/>
    <x v="133"/>
    <x v="133"/>
    <m/>
    <x v="0"/>
    <n v="1.425"/>
    <x v="24"/>
  </r>
  <r>
    <x v="15"/>
    <s v="Заквасочна культура Holdback YM-CPlus  LYO 500 DCV"/>
    <x v="133"/>
    <x v="133"/>
    <m/>
    <x v="0"/>
    <n v="15.23"/>
    <x v="24"/>
  </r>
  <r>
    <x v="15"/>
    <s v="Заквасочна культура Holdback YM-CPlus  LYO 500 DCV"/>
    <x v="134"/>
    <x v="134"/>
    <m/>
    <x v="0"/>
    <n v="14.34"/>
    <x v="25"/>
  </r>
  <r>
    <x v="17"/>
    <s v="Закваска Premium 11\14штХ500од F-DVS  YoFlex  722865                  "/>
    <x v="134"/>
    <x v="134"/>
    <m/>
    <x v="0"/>
    <n v="2.4119999999999999"/>
    <x v="25"/>
  </r>
  <r>
    <x v="13"/>
    <s v="Закваска F-DVS YF-L   901\22шт.Х500од.724038"/>
    <x v="135"/>
    <x v="135"/>
    <m/>
    <x v="0"/>
    <n v="6.681"/>
    <x v="26"/>
  </r>
  <r>
    <x v="15"/>
    <s v="Заквасочна культура Holdback YM-CPlus  LYO 500 DCV"/>
    <x v="135"/>
    <x v="135"/>
    <m/>
    <x v="0"/>
    <n v="96.38"/>
    <x v="26"/>
  </r>
  <r>
    <x v="13"/>
    <s v="Закваска F-DVS YF-L   901\22шт.Х500од.724038"/>
    <x v="136"/>
    <x v="136"/>
    <m/>
    <x v="0"/>
    <n v="0.97799999999999998"/>
    <x v="27"/>
  </r>
  <r>
    <x v="15"/>
    <s v="Заквасочна культура Holdback YM-CPlus  LYO 500 DCV"/>
    <x v="136"/>
    <x v="136"/>
    <m/>
    <x v="0"/>
    <n v="14.11"/>
    <x v="27"/>
  </r>
  <r>
    <x v="1"/>
    <s v="Закваска ST-BODI-3/25шт200од FD-DVS 668900"/>
    <x v="137"/>
    <x v="137"/>
    <m/>
    <x v="0"/>
    <n v="0.56799999999999995"/>
    <x v="28"/>
  </r>
  <r>
    <x v="6"/>
    <s v="Закваска Premium 16\12штX500од F-DVS YoFlex  3789991"/>
    <x v="137"/>
    <x v="137"/>
    <m/>
    <x v="0"/>
    <n v="0.371"/>
    <x v="28"/>
  </r>
  <r>
    <x v="9"/>
    <s v="Закваска ХТ-314 F-DVS 704769  10шт/500од"/>
    <x v="138"/>
    <x v="138"/>
    <m/>
    <x v="0"/>
    <n v="0.02"/>
    <x v="29"/>
  </r>
  <r>
    <x v="18"/>
    <s v="Закваска F-DVS Yoflex Creamy 2.0\12штX5  724303                    "/>
    <x v="138"/>
    <x v="138"/>
    <m/>
    <x v="0"/>
    <n v="0.03"/>
    <x v="29"/>
  </r>
  <r>
    <x v="1"/>
    <s v="Закваска ST-BODI-3/25шт200од FD-DVS 668900"/>
    <x v="139"/>
    <x v="139"/>
    <m/>
    <x v="0"/>
    <n v="3.8039999999999998"/>
    <x v="30"/>
  </r>
  <r>
    <x v="6"/>
    <s v="Закваска Premium 16\12штX500од F-DVS YoFlex  3789991"/>
    <x v="139"/>
    <x v="139"/>
    <m/>
    <x v="0"/>
    <n v="2.081"/>
    <x v="30"/>
  </r>
  <r>
    <x v="1"/>
    <s v="Закваска ST-BODI-3/25шт200од FD-DVS 668900"/>
    <x v="140"/>
    <x v="140"/>
    <m/>
    <x v="0"/>
    <n v="0.43"/>
    <x v="31"/>
  </r>
  <r>
    <x v="6"/>
    <s v="Закваска Premium 16\12штX500од F-DVS YoFlex  3789991"/>
    <x v="140"/>
    <x v="140"/>
    <m/>
    <x v="0"/>
    <n v="0.24099999999999999"/>
    <x v="31"/>
  </r>
  <r>
    <x v="4"/>
    <s v="Заквасочна культура  YO-MIX  885  LYO 500  DCU"/>
    <x v="141"/>
    <x v="141"/>
    <m/>
    <x v="0"/>
    <n v="2.1190000000000002"/>
    <x v="32"/>
  </r>
  <r>
    <x v="15"/>
    <s v="Заквасочна культура Holdback YM-CPlus  LYO 500 DCV"/>
    <x v="141"/>
    <x v="141"/>
    <m/>
    <x v="0"/>
    <n v="0.70799999999999996"/>
    <x v="32"/>
  </r>
  <r>
    <x v="7"/>
    <s v="Заквасочна культура DN LYO 2D"/>
    <x v="142"/>
    <x v="142"/>
    <m/>
    <x v="0"/>
    <n v="9.843"/>
    <x v="33"/>
  </r>
  <r>
    <x v="11"/>
    <s v="Заквасочна культура CHOOZIT BM/SC 504 FRO 500 DCU (Р)"/>
    <x v="142"/>
    <x v="142"/>
    <m/>
    <x v="0"/>
    <n v="1.97"/>
    <x v="33"/>
  </r>
  <r>
    <x v="7"/>
    <s v="Заквасочна культура DN LYO 2D"/>
    <x v="143"/>
    <x v="143"/>
    <m/>
    <x v="0"/>
    <n v="9.1639999999999997"/>
    <x v="34"/>
  </r>
  <r>
    <x v="11"/>
    <s v="Заквасочна культура CHOOZIT BM/SC 504 FRO 500 DCU (Р)"/>
    <x v="143"/>
    <x v="143"/>
    <m/>
    <x v="0"/>
    <n v="1.835"/>
    <x v="34"/>
  </r>
  <r>
    <x v="2"/>
    <s v="Закваска Premium 10 14штХ500од.F-DVS YoFlex   \    722303                                                      "/>
    <x v="144"/>
    <x v="144"/>
    <m/>
    <x v="0"/>
    <n v="0.45500000000000002"/>
    <x v="35"/>
  </r>
  <r>
    <x v="15"/>
    <s v="Заквасочна культура Holdback YM-CPlus  LYO 500 DCV"/>
    <x v="144"/>
    <x v="144"/>
    <m/>
    <x v="0"/>
    <n v="12.622999999999999"/>
    <x v="35"/>
  </r>
  <r>
    <x v="16"/>
    <s v="Закваска ST- BODY-4/22 шт.Х 500 од.F-DVS 724302"/>
    <x v="144"/>
    <x v="144"/>
    <m/>
    <x v="0"/>
    <n v="0.29399999999999998"/>
    <x v="35"/>
  </r>
  <r>
    <x v="5"/>
    <s v="Закваска F-DVS FreshQ   Mild203/12inX500од 727665                                                     "/>
    <x v="145"/>
    <x v="145"/>
    <m/>
    <x v="0"/>
    <n v="0.32900000000000001"/>
    <x v="36"/>
  </r>
  <r>
    <x v="16"/>
    <s v="Закваска ST- BODY-4/22 шт.Х 500 од.F-DVS 724302"/>
    <x v="145"/>
    <x v="145"/>
    <m/>
    <x v="0"/>
    <n v="0.113"/>
    <x v="36"/>
  </r>
  <r>
    <x v="1"/>
    <s v="Закваска ST-BODI-3/25шт200од FD-DVS 668900"/>
    <x v="146"/>
    <x v="146"/>
    <m/>
    <x v="0"/>
    <n v="1.3280000000000001"/>
    <x v="37"/>
  </r>
  <r>
    <x v="7"/>
    <s v="Заквасочна культура DN LYO 2D"/>
    <x v="146"/>
    <x v="146"/>
    <m/>
    <x v="0"/>
    <n v="33.859000000000002"/>
    <x v="37"/>
  </r>
  <r>
    <x v="9"/>
    <s v="Закваска ХТ-314 F-DVS 704769  10шт/500од"/>
    <x v="146"/>
    <x v="146"/>
    <m/>
    <x v="0"/>
    <n v="0.72099999999999997"/>
    <x v="37"/>
  </r>
  <r>
    <x v="16"/>
    <s v="Закваска ST- BODY-4/22 шт.Х 500 од.F-DVS 724302"/>
    <x v="146"/>
    <x v="146"/>
    <m/>
    <x v="0"/>
    <n v="0.189"/>
    <x v="37"/>
  </r>
  <r>
    <x v="10"/>
    <s v="Заквасочна культура  YO-MIX  PRIME 802 LYO 500 DCU  шт."/>
    <x v="147"/>
    <x v="147"/>
    <m/>
    <x v="0"/>
    <n v="0.66100000000000003"/>
    <x v="38"/>
  </r>
  <r>
    <x v="1"/>
    <s v="Закваска ST-BODI-3/25шт200од FD-DVS 668900"/>
    <x v="148"/>
    <x v="148"/>
    <m/>
    <x v="0"/>
    <n v="1.2929999999999999"/>
    <x v="39"/>
  </r>
  <r>
    <x v="7"/>
    <s v="Заквасочна культура DN LYO 2D"/>
    <x v="148"/>
    <x v="148"/>
    <m/>
    <x v="0"/>
    <n v="28.782"/>
    <x v="40"/>
  </r>
  <r>
    <x v="9"/>
    <s v="Закваска ХТ-314 F-DVS 704769  10шт/500од"/>
    <x v="148"/>
    <x v="148"/>
    <m/>
    <x v="0"/>
    <n v="0.75600000000000001"/>
    <x v="39"/>
  </r>
  <r>
    <x v="16"/>
    <s v="Закваска ST- BODY-4/22 шт.Х 500 од.F-DVS 724302"/>
    <x v="148"/>
    <x v="148"/>
    <m/>
    <x v="0"/>
    <n v="0.2"/>
    <x v="39"/>
  </r>
  <r>
    <x v="3"/>
    <s v="закваска Premium 11/6x500UF-DVC FreshQ -726654"/>
    <x v="149"/>
    <x v="149"/>
    <m/>
    <x v="0"/>
    <n v="8.1189999999999998"/>
    <x v="41"/>
  </r>
  <r>
    <x v="3"/>
    <s v="закваска Premium 11/6x500UF-DVC FreshQ -726654"/>
    <x v="150"/>
    <x v="150"/>
    <m/>
    <x v="0"/>
    <n v="1.135"/>
    <x v="42"/>
  </r>
  <r>
    <x v="8"/>
    <s v="Заквасочна культура     Holdback YM-XPM  FRO 500 (Р)"/>
    <x v="151"/>
    <x v="151"/>
    <m/>
    <x v="0"/>
    <n v="1.78"/>
    <x v="43"/>
  </r>
  <r>
    <x v="17"/>
    <s v="Закваска Premium 11\14штХ500од F-DVS  YoFlex  722865                  "/>
    <x v="151"/>
    <x v="151"/>
    <m/>
    <x v="0"/>
    <n v="0.17799999999999999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C24" firstHeaderRow="1" firstDataRow="2" firstDataCol="1"/>
  <pivotFields count="8">
    <pivotField axis="axisRow" showAll="0">
      <items count="20">
        <item x="9"/>
        <item x="7"/>
        <item x="8"/>
        <item x="1"/>
        <item x="15"/>
        <item x="11"/>
        <item x="12"/>
        <item x="13"/>
        <item x="14"/>
        <item x="16"/>
        <item x="17"/>
        <item x="18"/>
        <item x="2"/>
        <item x="3"/>
        <item x="10"/>
        <item x="4"/>
        <item x="5"/>
        <item x="6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  Кількість закваски (початок розподілу)" fld="6" baseField="0" baseItem="0"/>
    <dataField name="  Кількість закваски (результат розподілу)" fld="4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C157" firstHeaderRow="1" firstDataRow="2" firstDataCol="1"/>
  <pivotFields count="8">
    <pivotField showAll="0"/>
    <pivotField showAll="0"/>
    <pivotField showAll="0">
      <items count="153">
        <item x="49"/>
        <item x="10"/>
        <item x="45"/>
        <item x="4"/>
        <item x="39"/>
        <item x="129"/>
        <item x="56"/>
        <item x="34"/>
        <item x="20"/>
        <item x="21"/>
        <item x="35"/>
        <item x="36"/>
        <item x="37"/>
        <item x="130"/>
        <item x="73"/>
        <item x="74"/>
        <item x="75"/>
        <item x="76"/>
        <item x="77"/>
        <item x="78"/>
        <item x="79"/>
        <item x="57"/>
        <item x="80"/>
        <item x="22"/>
        <item x="131"/>
        <item x="132"/>
        <item x="133"/>
        <item x="30"/>
        <item x="31"/>
        <item x="62"/>
        <item x="63"/>
        <item x="64"/>
        <item x="65"/>
        <item x="14"/>
        <item x="29"/>
        <item x="124"/>
        <item x="125"/>
        <item x="138"/>
        <item x="116"/>
        <item x="9"/>
        <item x="60"/>
        <item x="148"/>
        <item x="137"/>
        <item x="28"/>
        <item x="44"/>
        <item x="1"/>
        <item x="87"/>
        <item x="8"/>
        <item x="122"/>
        <item x="123"/>
        <item x="27"/>
        <item x="11"/>
        <item x="144"/>
        <item x="145"/>
        <item x="43"/>
        <item x="12"/>
        <item x="88"/>
        <item x="89"/>
        <item x="90"/>
        <item x="91"/>
        <item x="92"/>
        <item x="146"/>
        <item x="93"/>
        <item x="94"/>
        <item x="13"/>
        <item x="95"/>
        <item x="96"/>
        <item x="72"/>
        <item x="54"/>
        <item x="55"/>
        <item x="108"/>
        <item x="109"/>
        <item x="126"/>
        <item x="127"/>
        <item x="128"/>
        <item x="110"/>
        <item x="7"/>
        <item x="40"/>
        <item x="111"/>
        <item x="142"/>
        <item x="26"/>
        <item x="41"/>
        <item x="42"/>
        <item x="143"/>
        <item x="149"/>
        <item x="150"/>
        <item x="58"/>
        <item x="59"/>
        <item x="61"/>
        <item x="147"/>
        <item x="117"/>
        <item x="50"/>
        <item x="113"/>
        <item x="114"/>
        <item x="115"/>
        <item x="81"/>
        <item x="82"/>
        <item x="83"/>
        <item x="134"/>
        <item x="135"/>
        <item x="136"/>
        <item x="38"/>
        <item x="84"/>
        <item x="85"/>
        <item x="86"/>
        <item x="46"/>
        <item x="47"/>
        <item x="151"/>
        <item x="112"/>
        <item x="48"/>
        <item x="52"/>
        <item x="53"/>
        <item x="32"/>
        <item x="3"/>
        <item x="33"/>
        <item x="139"/>
        <item x="140"/>
        <item x="5"/>
        <item x="6"/>
        <item x="141"/>
        <item x="107"/>
        <item x="25"/>
        <item x="118"/>
        <item x="2"/>
        <item x="119"/>
        <item x="23"/>
        <item x="24"/>
        <item x="97"/>
        <item x="98"/>
        <item x="66"/>
        <item x="67"/>
        <item x="68"/>
        <item x="69"/>
        <item x="70"/>
        <item x="71"/>
        <item x="99"/>
        <item x="100"/>
        <item x="101"/>
        <item x="51"/>
        <item x="120"/>
        <item x="121"/>
        <item x="15"/>
        <item x="16"/>
        <item x="17"/>
        <item x="18"/>
        <item x="19"/>
        <item x="102"/>
        <item x="103"/>
        <item x="104"/>
        <item x="105"/>
        <item x="106"/>
        <item x="0"/>
        <item t="default"/>
      </items>
    </pivotField>
    <pivotField axis="axisRow" showAll="0">
      <items count="153">
        <item x="141"/>
        <item x="23"/>
        <item x="24"/>
        <item x="19"/>
        <item x="28"/>
        <item x="26"/>
        <item x="14"/>
        <item x="13"/>
        <item x="11"/>
        <item x="29"/>
        <item x="27"/>
        <item x="113"/>
        <item x="114"/>
        <item x="115"/>
        <item x="73"/>
        <item x="87"/>
        <item x="74"/>
        <item x="79"/>
        <item x="78"/>
        <item x="76"/>
        <item x="77"/>
        <item x="75"/>
        <item x="66"/>
        <item x="94"/>
        <item x="96"/>
        <item x="93"/>
        <item x="95"/>
        <item x="46"/>
        <item x="47"/>
        <item x="25"/>
        <item x="111"/>
        <item x="108"/>
        <item x="109"/>
        <item x="107"/>
        <item x="110"/>
        <item x="61"/>
        <item x="91"/>
        <item x="12"/>
        <item x="90"/>
        <item x="89"/>
        <item x="88"/>
        <item x="68"/>
        <item x="69"/>
        <item x="70"/>
        <item x="71"/>
        <item x="97"/>
        <item x="98"/>
        <item x="22"/>
        <item x="15"/>
        <item x="16"/>
        <item x="17"/>
        <item x="18"/>
        <item x="103"/>
        <item x="104"/>
        <item x="105"/>
        <item x="147"/>
        <item x="118"/>
        <item x="125"/>
        <item x="145"/>
        <item x="124"/>
        <item x="144"/>
        <item x="149"/>
        <item x="150"/>
        <item x="21"/>
        <item x="20"/>
        <item x="62"/>
        <item x="81"/>
        <item x="65"/>
        <item x="63"/>
        <item x="83"/>
        <item x="82"/>
        <item x="67"/>
        <item x="64"/>
        <item x="84"/>
        <item x="85"/>
        <item x="86"/>
        <item x="80"/>
        <item x="72"/>
        <item x="92"/>
        <item x="134"/>
        <item x="135"/>
        <item x="136"/>
        <item x="48"/>
        <item x="102"/>
        <item x="112"/>
        <item x="106"/>
        <item x="101"/>
        <item x="100"/>
        <item x="99"/>
        <item x="151"/>
        <item x="126"/>
        <item x="123"/>
        <item x="122"/>
        <item x="1"/>
        <item x="45"/>
        <item x="44"/>
        <item x="10"/>
        <item x="33"/>
        <item x="8"/>
        <item x="9"/>
        <item x="32"/>
        <item x="143"/>
        <item x="148"/>
        <item x="119"/>
        <item x="142"/>
        <item x="116"/>
        <item x="146"/>
        <item x="35"/>
        <item x="43"/>
        <item x="37"/>
        <item x="39"/>
        <item x="36"/>
        <item x="34"/>
        <item x="42"/>
        <item x="40"/>
        <item x="7"/>
        <item x="2"/>
        <item x="38"/>
        <item x="41"/>
        <item x="31"/>
        <item x="30"/>
        <item x="56"/>
        <item x="50"/>
        <item x="130"/>
        <item x="138"/>
        <item x="127"/>
        <item x="128"/>
        <item x="6"/>
        <item x="3"/>
        <item x="140"/>
        <item x="139"/>
        <item x="137"/>
        <item x="129"/>
        <item x="4"/>
        <item x="5"/>
        <item x="60"/>
        <item x="117"/>
        <item x="131"/>
        <item x="120"/>
        <item x="121"/>
        <item x="132"/>
        <item x="133"/>
        <item x="54"/>
        <item x="57"/>
        <item x="55"/>
        <item x="49"/>
        <item x="58"/>
        <item x="59"/>
        <item x="51"/>
        <item x="52"/>
        <item x="53"/>
        <item x="0"/>
        <item t="default"/>
      </items>
    </pivotField>
    <pivotField dataField="1" showAll="0"/>
    <pivotField showAll="0"/>
    <pivotField dataField="1" showAll="0"/>
    <pivotField showAll="0"/>
  </pivotFields>
  <rowFields count="1">
    <field x="3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 t="grand">
      <x/>
    </i>
  </rowItems>
  <colFields count="1">
    <field x="-2"/>
  </colFields>
  <colItems count="2">
    <i>
      <x/>
    </i>
    <i i="1">
      <x v="1"/>
    </i>
  </colItems>
  <dataFields count="2">
    <dataField name="  Кількість закваски (початок розподілу)" fld="6" baseField="0" baseItem="0"/>
    <dataField name="  Кількість закваски (результат розподілу)" fld="4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C157" firstHeaderRow="1" firstDataRow="2" firstDataCol="1"/>
  <pivotFields count="8">
    <pivotField showAll="0"/>
    <pivotField showAll="0"/>
    <pivotField showAll="0">
      <items count="153">
        <item x="49"/>
        <item x="10"/>
        <item x="45"/>
        <item x="4"/>
        <item x="39"/>
        <item x="129"/>
        <item x="56"/>
        <item x="34"/>
        <item x="20"/>
        <item x="21"/>
        <item x="35"/>
        <item x="36"/>
        <item x="37"/>
        <item x="130"/>
        <item x="73"/>
        <item x="74"/>
        <item x="75"/>
        <item x="76"/>
        <item x="77"/>
        <item x="78"/>
        <item x="79"/>
        <item x="57"/>
        <item x="80"/>
        <item x="22"/>
        <item x="131"/>
        <item x="132"/>
        <item x="133"/>
        <item x="30"/>
        <item x="31"/>
        <item x="62"/>
        <item x="63"/>
        <item x="64"/>
        <item x="65"/>
        <item x="14"/>
        <item x="29"/>
        <item x="124"/>
        <item x="125"/>
        <item x="138"/>
        <item x="116"/>
        <item x="9"/>
        <item x="60"/>
        <item x="148"/>
        <item x="137"/>
        <item x="28"/>
        <item x="44"/>
        <item x="1"/>
        <item x="87"/>
        <item x="8"/>
        <item x="122"/>
        <item x="123"/>
        <item x="27"/>
        <item x="11"/>
        <item x="144"/>
        <item x="145"/>
        <item x="43"/>
        <item x="12"/>
        <item x="88"/>
        <item x="89"/>
        <item x="90"/>
        <item x="91"/>
        <item x="92"/>
        <item x="146"/>
        <item x="93"/>
        <item x="94"/>
        <item x="13"/>
        <item x="95"/>
        <item x="96"/>
        <item x="72"/>
        <item x="54"/>
        <item x="55"/>
        <item x="108"/>
        <item x="109"/>
        <item x="126"/>
        <item x="127"/>
        <item x="128"/>
        <item x="110"/>
        <item x="7"/>
        <item x="40"/>
        <item x="111"/>
        <item x="142"/>
        <item x="26"/>
        <item x="41"/>
        <item x="42"/>
        <item x="143"/>
        <item x="149"/>
        <item x="150"/>
        <item x="58"/>
        <item x="59"/>
        <item x="61"/>
        <item x="147"/>
        <item x="117"/>
        <item x="50"/>
        <item x="113"/>
        <item x="114"/>
        <item x="115"/>
        <item x="81"/>
        <item x="82"/>
        <item x="83"/>
        <item x="134"/>
        <item x="135"/>
        <item x="136"/>
        <item x="38"/>
        <item x="84"/>
        <item x="85"/>
        <item x="86"/>
        <item x="46"/>
        <item x="47"/>
        <item x="151"/>
        <item x="112"/>
        <item x="48"/>
        <item x="52"/>
        <item x="53"/>
        <item x="32"/>
        <item x="3"/>
        <item x="33"/>
        <item x="139"/>
        <item x="140"/>
        <item x="5"/>
        <item x="6"/>
        <item x="141"/>
        <item x="107"/>
        <item x="25"/>
        <item x="118"/>
        <item x="2"/>
        <item x="119"/>
        <item x="23"/>
        <item x="24"/>
        <item x="97"/>
        <item x="98"/>
        <item x="66"/>
        <item x="67"/>
        <item x="68"/>
        <item x="69"/>
        <item x="70"/>
        <item x="71"/>
        <item x="99"/>
        <item x="100"/>
        <item x="101"/>
        <item x="51"/>
        <item x="120"/>
        <item x="121"/>
        <item x="15"/>
        <item x="16"/>
        <item x="17"/>
        <item x="18"/>
        <item x="19"/>
        <item x="102"/>
        <item x="103"/>
        <item x="104"/>
        <item x="105"/>
        <item x="106"/>
        <item x="0"/>
        <item t="default"/>
      </items>
    </pivotField>
    <pivotField axis="axisRow" showAll="0">
      <items count="153">
        <item x="141"/>
        <item x="23"/>
        <item x="24"/>
        <item x="19"/>
        <item x="28"/>
        <item x="26"/>
        <item x="14"/>
        <item x="13"/>
        <item x="11"/>
        <item x="29"/>
        <item x="27"/>
        <item x="113"/>
        <item x="114"/>
        <item x="115"/>
        <item x="73"/>
        <item x="87"/>
        <item x="74"/>
        <item x="79"/>
        <item x="78"/>
        <item x="76"/>
        <item x="77"/>
        <item x="75"/>
        <item x="66"/>
        <item x="94"/>
        <item x="96"/>
        <item x="93"/>
        <item x="95"/>
        <item x="46"/>
        <item x="47"/>
        <item x="25"/>
        <item x="111"/>
        <item x="108"/>
        <item x="109"/>
        <item x="107"/>
        <item x="110"/>
        <item x="61"/>
        <item x="91"/>
        <item x="12"/>
        <item x="90"/>
        <item x="89"/>
        <item x="88"/>
        <item x="68"/>
        <item x="69"/>
        <item x="70"/>
        <item x="71"/>
        <item x="97"/>
        <item x="98"/>
        <item x="22"/>
        <item x="15"/>
        <item x="16"/>
        <item x="17"/>
        <item x="18"/>
        <item x="103"/>
        <item x="104"/>
        <item x="105"/>
        <item x="147"/>
        <item x="118"/>
        <item x="125"/>
        <item x="145"/>
        <item x="124"/>
        <item x="144"/>
        <item x="149"/>
        <item x="150"/>
        <item x="21"/>
        <item x="20"/>
        <item x="62"/>
        <item x="81"/>
        <item x="65"/>
        <item x="63"/>
        <item x="83"/>
        <item x="82"/>
        <item x="67"/>
        <item x="64"/>
        <item x="84"/>
        <item x="85"/>
        <item x="86"/>
        <item x="80"/>
        <item x="72"/>
        <item x="92"/>
        <item x="134"/>
        <item x="135"/>
        <item x="136"/>
        <item x="48"/>
        <item x="102"/>
        <item x="112"/>
        <item x="106"/>
        <item x="101"/>
        <item x="100"/>
        <item x="99"/>
        <item x="151"/>
        <item x="126"/>
        <item x="123"/>
        <item x="122"/>
        <item x="1"/>
        <item x="45"/>
        <item x="44"/>
        <item x="10"/>
        <item x="33"/>
        <item x="8"/>
        <item x="9"/>
        <item x="32"/>
        <item x="143"/>
        <item x="148"/>
        <item x="119"/>
        <item x="142"/>
        <item x="116"/>
        <item x="146"/>
        <item x="35"/>
        <item x="43"/>
        <item x="37"/>
        <item x="39"/>
        <item x="36"/>
        <item x="34"/>
        <item x="42"/>
        <item x="40"/>
        <item x="7"/>
        <item x="2"/>
        <item x="38"/>
        <item x="41"/>
        <item x="31"/>
        <item x="30"/>
        <item x="56"/>
        <item x="50"/>
        <item x="130"/>
        <item x="138"/>
        <item x="127"/>
        <item x="128"/>
        <item x="6"/>
        <item x="3"/>
        <item x="140"/>
        <item x="139"/>
        <item x="137"/>
        <item x="129"/>
        <item x="4"/>
        <item x="5"/>
        <item x="60"/>
        <item x="117"/>
        <item x="131"/>
        <item x="120"/>
        <item x="121"/>
        <item x="132"/>
        <item x="133"/>
        <item x="54"/>
        <item x="57"/>
        <item x="55"/>
        <item x="49"/>
        <item x="58"/>
        <item x="59"/>
        <item x="51"/>
        <item x="52"/>
        <item x="53"/>
        <item x="0"/>
        <item t="default"/>
      </items>
    </pivotField>
    <pivotField showAll="0"/>
    <pivotField dataField="1" showAll="0">
      <items count="122">
        <item x="73"/>
        <item x="105"/>
        <item x="103"/>
        <item x="102"/>
        <item x="44"/>
        <item x="104"/>
        <item x="6"/>
        <item x="63"/>
        <item x="64"/>
        <item x="37"/>
        <item x="43"/>
        <item x="23"/>
        <item x="62"/>
        <item x="41"/>
        <item x="38"/>
        <item x="24"/>
        <item x="65"/>
        <item x="68"/>
        <item x="21"/>
        <item x="22"/>
        <item x="36"/>
        <item x="50"/>
        <item x="85"/>
        <item x="8"/>
        <item x="20"/>
        <item x="101"/>
        <item x="100"/>
        <item x="93"/>
        <item x="66"/>
        <item x="35"/>
        <item x="70"/>
        <item x="49"/>
        <item x="95"/>
        <item x="94"/>
        <item x="61"/>
        <item x="51"/>
        <item x="82"/>
        <item x="83"/>
        <item x="106"/>
        <item x="72"/>
        <item x="86"/>
        <item x="39"/>
        <item x="71"/>
        <item x="2"/>
        <item x="47"/>
        <item x="48"/>
        <item x="5"/>
        <item x="52"/>
        <item x="84"/>
        <item x="7"/>
        <item x="12"/>
        <item x="118"/>
        <item x="31"/>
        <item x="87"/>
        <item x="96"/>
        <item x="81"/>
        <item x="40"/>
        <item x="69"/>
        <item x="116"/>
        <item x="110"/>
        <item x="28"/>
        <item x="108"/>
        <item x="92"/>
        <item x="97"/>
        <item x="9"/>
        <item x="117"/>
        <item x="120"/>
        <item x="42"/>
        <item x="89"/>
        <item x="1"/>
        <item x="113"/>
        <item x="109"/>
        <item x="115"/>
        <item x="107"/>
        <item x="29"/>
        <item x="114"/>
        <item x="67"/>
        <item x="91"/>
        <item x="34"/>
        <item x="98"/>
        <item x="53"/>
        <item x="79"/>
        <item x="58"/>
        <item x="15"/>
        <item x="55"/>
        <item x="74"/>
        <item x="30"/>
        <item x="90"/>
        <item x="27"/>
        <item x="119"/>
        <item x="99"/>
        <item x="112"/>
        <item x="32"/>
        <item x="54"/>
        <item x="88"/>
        <item x="4"/>
        <item x="11"/>
        <item x="45"/>
        <item x="14"/>
        <item x="13"/>
        <item x="19"/>
        <item x="111"/>
        <item x="60"/>
        <item x="17"/>
        <item x="26"/>
        <item x="80"/>
        <item x="56"/>
        <item x="76"/>
        <item x="25"/>
        <item x="78"/>
        <item x="16"/>
        <item x="33"/>
        <item x="59"/>
        <item x="10"/>
        <item x="18"/>
        <item x="46"/>
        <item x="77"/>
        <item x="57"/>
        <item x="75"/>
        <item x="3"/>
        <item x="0"/>
        <item t="default"/>
      </items>
    </pivotField>
    <pivotField showAll="0"/>
    <pivotField dataField="1" showAll="0">
      <items count="45">
        <item x="29"/>
        <item x="38"/>
        <item x="16"/>
        <item x="8"/>
        <item x="9"/>
        <item x="21"/>
        <item x="12"/>
        <item x="17"/>
        <item x="3"/>
        <item x="43"/>
        <item x="34"/>
        <item x="33"/>
        <item x="32"/>
        <item x="23"/>
        <item x="36"/>
        <item x="28"/>
        <item x="31"/>
        <item x="42"/>
        <item x="20"/>
        <item x="35"/>
        <item x="4"/>
        <item x="5"/>
        <item x="40"/>
        <item x="37"/>
        <item x="39"/>
        <item x="27"/>
        <item x="19"/>
        <item x="18"/>
        <item x="11"/>
        <item x="10"/>
        <item x="24"/>
        <item x="30"/>
        <item x="25"/>
        <item x="13"/>
        <item x="6"/>
        <item x="22"/>
        <item x="7"/>
        <item x="14"/>
        <item x="15"/>
        <item x="41"/>
        <item x="26"/>
        <item x="1"/>
        <item x="2"/>
        <item x="0"/>
        <item t="default"/>
      </items>
    </pivotField>
  </pivotFields>
  <rowFields count="1">
    <field x="3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 t="grand">
      <x/>
    </i>
  </rowItems>
  <colFields count="1">
    <field x="-2"/>
  </colFields>
  <colItems count="2">
    <i>
      <x/>
    </i>
    <i i="1">
      <x v="1"/>
    </i>
  </colItems>
  <dataFields count="2">
    <dataField name="  Кількість продукта (початок розподілу)" fld="7" baseField="0" baseItem="0"/>
    <dataField name="  Кількість продукта (результат розподілу)" fld="5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82"/>
  <sheetViews>
    <sheetView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F29" sqref="F29"/>
    </sheetView>
  </sheetViews>
  <sheetFormatPr defaultRowHeight="15"/>
  <cols>
    <col min="1" max="1" width="3.5703125" bestFit="1" customWidth="1"/>
    <col min="2" max="2" width="47.42578125" bestFit="1" customWidth="1"/>
    <col min="3" max="3" width="5.28515625" bestFit="1" customWidth="1"/>
    <col min="4" max="4" width="76.7109375" bestFit="1" customWidth="1"/>
    <col min="5" max="5" width="11.85546875" bestFit="1" customWidth="1"/>
    <col min="6" max="6" width="23.42578125" bestFit="1" customWidth="1"/>
    <col min="7" max="7" width="7.140625" bestFit="1" customWidth="1"/>
    <col min="8" max="8" width="15" bestFit="1" customWidth="1"/>
    <col min="9" max="9" width="59.7109375" bestFit="1" customWidth="1"/>
    <col min="10" max="10" width="11.140625" bestFit="1" customWidth="1"/>
    <col min="11" max="11" width="15.28515625" bestFit="1" customWidth="1"/>
    <col min="12" max="12" width="71.85546875" bestFit="1" customWidth="1"/>
    <col min="13" max="13" width="22.28515625" bestFit="1" customWidth="1"/>
  </cols>
  <sheetData>
    <row r="1" spans="1:14" ht="15.75" thickBot="1">
      <c r="A1" s="1"/>
      <c r="B1" s="1"/>
      <c r="C1" s="1"/>
      <c r="D1" s="1"/>
      <c r="E1" s="1"/>
      <c r="F1" s="1"/>
      <c r="G1" s="1"/>
      <c r="H1" s="1">
        <f>SUM(H4:H281)</f>
        <v>829.73900000100093</v>
      </c>
      <c r="I1" s="1"/>
      <c r="J1" s="1"/>
      <c r="K1" s="1"/>
      <c r="L1" s="1"/>
      <c r="M1" s="1"/>
    </row>
    <row r="2" spans="1:14" ht="15.7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1"/>
    </row>
    <row r="3" spans="1:14" ht="15.7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 ht="15.75" thickBot="1">
      <c r="A4" s="3">
        <v>1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3">
        <v>0.19236663200000001</v>
      </c>
      <c r="I4" s="4" t="s">
        <v>19</v>
      </c>
      <c r="J4" s="4" t="s">
        <v>20</v>
      </c>
      <c r="K4" s="3" t="s">
        <v>21</v>
      </c>
      <c r="L4" s="4" t="s">
        <v>22</v>
      </c>
      <c r="M4" s="4" t="s">
        <v>8</v>
      </c>
      <c r="N4" s="1"/>
    </row>
    <row r="5" spans="1:14" ht="15.75" thickBot="1">
      <c r="A5" s="3">
        <v>2</v>
      </c>
      <c r="B5" s="4" t="s">
        <v>23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3">
        <v>9.1128218999999996E-2</v>
      </c>
      <c r="I5" s="4" t="s">
        <v>24</v>
      </c>
      <c r="J5" s="4" t="s">
        <v>25</v>
      </c>
      <c r="K5" s="3" t="s">
        <v>26</v>
      </c>
      <c r="L5" s="4" t="s">
        <v>27</v>
      </c>
      <c r="M5" s="4" t="s">
        <v>8</v>
      </c>
      <c r="N5" s="1"/>
    </row>
    <row r="6" spans="1:14" ht="15.75" thickBot="1">
      <c r="A6" s="3">
        <v>3</v>
      </c>
      <c r="B6" s="4" t="s">
        <v>28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3">
        <v>5.8363626579999996</v>
      </c>
      <c r="I6" s="4" t="s">
        <v>29</v>
      </c>
      <c r="J6" s="4" t="s">
        <v>30</v>
      </c>
      <c r="K6" s="3" t="s">
        <v>31</v>
      </c>
      <c r="L6" s="4" t="s">
        <v>32</v>
      </c>
      <c r="M6" s="4" t="s">
        <v>8</v>
      </c>
      <c r="N6" s="1"/>
    </row>
    <row r="7" spans="1:14" ht="15.75" thickBot="1">
      <c r="A7" s="3">
        <v>4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3">
        <v>0.61443497199999997</v>
      </c>
      <c r="I7" s="4" t="s">
        <v>33</v>
      </c>
      <c r="J7" s="4" t="s">
        <v>34</v>
      </c>
      <c r="K7" s="3" t="s">
        <v>35</v>
      </c>
      <c r="L7" s="4" t="s">
        <v>36</v>
      </c>
      <c r="M7" s="4" t="s">
        <v>8</v>
      </c>
      <c r="N7" s="1"/>
    </row>
    <row r="8" spans="1:14" ht="15.75" thickBot="1">
      <c r="A8" s="3">
        <v>5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3">
        <v>0.20014584599999999</v>
      </c>
      <c r="I8" s="4" t="s">
        <v>37</v>
      </c>
      <c r="J8" s="4" t="s">
        <v>38</v>
      </c>
      <c r="K8" s="3" t="s">
        <v>39</v>
      </c>
      <c r="L8" s="4" t="s">
        <v>40</v>
      </c>
      <c r="M8" s="4" t="s">
        <v>8</v>
      </c>
      <c r="N8" s="1"/>
    </row>
    <row r="9" spans="1:14" ht="15.75" thickBot="1">
      <c r="A9" s="3">
        <v>6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3">
        <v>2.7124298000000002E-2</v>
      </c>
      <c r="I9" s="4" t="s">
        <v>41</v>
      </c>
      <c r="J9" s="4" t="s">
        <v>42</v>
      </c>
      <c r="K9" s="3" t="s">
        <v>43</v>
      </c>
      <c r="L9" s="4" t="s">
        <v>41</v>
      </c>
      <c r="M9" s="4" t="s">
        <v>8</v>
      </c>
      <c r="N9" s="1"/>
    </row>
    <row r="10" spans="1:14" ht="15.75" thickBot="1">
      <c r="A10" s="3">
        <v>7</v>
      </c>
      <c r="B10" s="4" t="s">
        <v>44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3">
        <v>0.11022127600000001</v>
      </c>
      <c r="I10" s="4" t="s">
        <v>45</v>
      </c>
      <c r="J10" s="4" t="s">
        <v>46</v>
      </c>
      <c r="K10" s="3" t="s">
        <v>47</v>
      </c>
      <c r="L10" s="4" t="s">
        <v>48</v>
      </c>
      <c r="M10" s="4" t="s">
        <v>8</v>
      </c>
      <c r="N10" s="1"/>
    </row>
    <row r="11" spans="1:14" ht="15.75" thickBot="1">
      <c r="A11" s="3">
        <v>8</v>
      </c>
      <c r="B11" s="4" t="s">
        <v>28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3">
        <v>5.4371177E-2</v>
      </c>
      <c r="I11" s="4" t="s">
        <v>49</v>
      </c>
      <c r="J11" s="4" t="s">
        <v>50</v>
      </c>
      <c r="K11" s="3" t="s">
        <v>51</v>
      </c>
      <c r="L11" s="4" t="s">
        <v>52</v>
      </c>
      <c r="M11" s="4" t="s">
        <v>8</v>
      </c>
      <c r="N11" s="1"/>
    </row>
    <row r="12" spans="1:14" ht="15.75" thickBot="1">
      <c r="A12" s="3">
        <v>9</v>
      </c>
      <c r="B12" s="4" t="s">
        <v>28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3">
        <v>0.18115971</v>
      </c>
      <c r="I12" s="4" t="s">
        <v>53</v>
      </c>
      <c r="J12" s="4" t="s">
        <v>54</v>
      </c>
      <c r="K12" s="3" t="s">
        <v>55</v>
      </c>
      <c r="L12" s="4" t="s">
        <v>56</v>
      </c>
      <c r="M12" s="4" t="s">
        <v>8</v>
      </c>
      <c r="N12" s="1"/>
    </row>
    <row r="13" spans="1:14" ht="15.75" thickBot="1">
      <c r="A13" s="3">
        <v>10</v>
      </c>
      <c r="B13" s="4" t="s">
        <v>28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3">
        <v>1.094685211</v>
      </c>
      <c r="I13" s="4" t="s">
        <v>57</v>
      </c>
      <c r="J13" s="4" t="s">
        <v>58</v>
      </c>
      <c r="K13" s="3" t="s">
        <v>59</v>
      </c>
      <c r="L13" s="4" t="s">
        <v>60</v>
      </c>
      <c r="M13" s="4" t="s">
        <v>8</v>
      </c>
      <c r="N13" s="1"/>
    </row>
    <row r="14" spans="1:14" ht="15.75" thickBot="1">
      <c r="A14" s="3">
        <v>11</v>
      </c>
      <c r="B14" s="4" t="s">
        <v>13</v>
      </c>
      <c r="C14" s="4" t="s">
        <v>14</v>
      </c>
      <c r="D14" s="4" t="s">
        <v>61</v>
      </c>
      <c r="E14" s="4" t="s">
        <v>62</v>
      </c>
      <c r="F14" s="4" t="s">
        <v>17</v>
      </c>
      <c r="G14" s="4" t="s">
        <v>18</v>
      </c>
      <c r="H14" s="3">
        <v>0.40772456099999999</v>
      </c>
      <c r="I14" s="4" t="s">
        <v>63</v>
      </c>
      <c r="J14" s="4" t="s">
        <v>64</v>
      </c>
      <c r="K14" s="3" t="s">
        <v>65</v>
      </c>
      <c r="L14" s="4" t="s">
        <v>66</v>
      </c>
      <c r="M14" s="4" t="s">
        <v>8</v>
      </c>
      <c r="N14" s="1"/>
    </row>
    <row r="15" spans="1:14" ht="15.75" thickBot="1">
      <c r="A15" s="3">
        <v>12</v>
      </c>
      <c r="B15" s="4" t="s">
        <v>67</v>
      </c>
      <c r="C15" s="4" t="s">
        <v>14</v>
      </c>
      <c r="D15" s="4" t="s">
        <v>61</v>
      </c>
      <c r="E15" s="4" t="s">
        <v>62</v>
      </c>
      <c r="F15" s="4" t="s">
        <v>17</v>
      </c>
      <c r="G15" s="4" t="s">
        <v>18</v>
      </c>
      <c r="H15" s="3">
        <v>0.15960364799999999</v>
      </c>
      <c r="I15" s="4" t="s">
        <v>68</v>
      </c>
      <c r="J15" s="4" t="s">
        <v>69</v>
      </c>
      <c r="K15" s="3" t="s">
        <v>70</v>
      </c>
      <c r="L15" s="4" t="s">
        <v>71</v>
      </c>
      <c r="M15" s="4" t="s">
        <v>8</v>
      </c>
      <c r="N15" s="1"/>
    </row>
    <row r="16" spans="1:14" ht="15.75" thickBot="1">
      <c r="A16" s="3">
        <v>13</v>
      </c>
      <c r="B16" s="4" t="s">
        <v>28</v>
      </c>
      <c r="C16" s="4" t="s">
        <v>14</v>
      </c>
      <c r="D16" s="4" t="s">
        <v>61</v>
      </c>
      <c r="E16" s="4" t="s">
        <v>62</v>
      </c>
      <c r="F16" s="4" t="s">
        <v>17</v>
      </c>
      <c r="G16" s="4" t="s">
        <v>18</v>
      </c>
      <c r="H16" s="3">
        <v>0.68695643100000003</v>
      </c>
      <c r="I16" s="4" t="s">
        <v>72</v>
      </c>
      <c r="J16" s="4" t="s">
        <v>73</v>
      </c>
      <c r="K16" s="3" t="s">
        <v>74</v>
      </c>
      <c r="L16" s="4" t="s">
        <v>75</v>
      </c>
      <c r="M16" s="4" t="s">
        <v>8</v>
      </c>
      <c r="N16" s="1"/>
    </row>
    <row r="17" spans="1:14" ht="15.75" thickBot="1">
      <c r="A17" s="3">
        <v>14</v>
      </c>
      <c r="B17" s="4" t="s">
        <v>28</v>
      </c>
      <c r="C17" s="4" t="s">
        <v>14</v>
      </c>
      <c r="D17" s="4" t="s">
        <v>61</v>
      </c>
      <c r="E17" s="4" t="s">
        <v>62</v>
      </c>
      <c r="F17" s="4" t="s">
        <v>17</v>
      </c>
      <c r="G17" s="4" t="s">
        <v>18</v>
      </c>
      <c r="H17" s="3">
        <v>0.659715359</v>
      </c>
      <c r="I17" s="4" t="s">
        <v>76</v>
      </c>
      <c r="J17" s="4" t="s">
        <v>77</v>
      </c>
      <c r="K17" s="3" t="s">
        <v>78</v>
      </c>
      <c r="L17" s="4" t="s">
        <v>79</v>
      </c>
      <c r="M17" s="4" t="s">
        <v>8</v>
      </c>
      <c r="N17" s="1"/>
    </row>
    <row r="18" spans="1:14" ht="15.75" thickBot="1">
      <c r="A18" s="3">
        <v>15</v>
      </c>
      <c r="B18" s="4" t="s">
        <v>28</v>
      </c>
      <c r="C18" s="4" t="s">
        <v>14</v>
      </c>
      <c r="D18" s="4" t="s">
        <v>80</v>
      </c>
      <c r="E18" s="4" t="s">
        <v>81</v>
      </c>
      <c r="F18" s="4" t="s">
        <v>17</v>
      </c>
      <c r="G18" s="4" t="s">
        <v>18</v>
      </c>
      <c r="H18" s="3">
        <v>0.89613059900000003</v>
      </c>
      <c r="I18" s="4" t="s">
        <v>82</v>
      </c>
      <c r="J18" s="4" t="s">
        <v>83</v>
      </c>
      <c r="K18" s="3" t="s">
        <v>84</v>
      </c>
      <c r="L18" s="4" t="s">
        <v>85</v>
      </c>
      <c r="M18" s="4" t="s">
        <v>8</v>
      </c>
      <c r="N18" s="1"/>
    </row>
    <row r="19" spans="1:14" ht="15.75" thickBot="1">
      <c r="A19" s="3">
        <v>16</v>
      </c>
      <c r="B19" s="4" t="s">
        <v>28</v>
      </c>
      <c r="C19" s="4" t="s">
        <v>14</v>
      </c>
      <c r="D19" s="4" t="s">
        <v>80</v>
      </c>
      <c r="E19" s="4" t="s">
        <v>81</v>
      </c>
      <c r="F19" s="4" t="s">
        <v>17</v>
      </c>
      <c r="G19" s="4" t="s">
        <v>18</v>
      </c>
      <c r="H19" s="3">
        <v>1.944697159</v>
      </c>
      <c r="I19" s="4" t="s">
        <v>86</v>
      </c>
      <c r="J19" s="4" t="s">
        <v>87</v>
      </c>
      <c r="K19" s="3" t="s">
        <v>88</v>
      </c>
      <c r="L19" s="4" t="s">
        <v>89</v>
      </c>
      <c r="M19" s="4" t="s">
        <v>8</v>
      </c>
      <c r="N19" s="1"/>
    </row>
    <row r="20" spans="1:14" ht="15.75" thickBot="1">
      <c r="A20" s="3">
        <v>17</v>
      </c>
      <c r="B20" s="4" t="s">
        <v>13</v>
      </c>
      <c r="C20" s="4" t="s">
        <v>14</v>
      </c>
      <c r="D20" s="4" t="s">
        <v>80</v>
      </c>
      <c r="E20" s="4" t="s">
        <v>81</v>
      </c>
      <c r="F20" s="4" t="s">
        <v>17</v>
      </c>
      <c r="G20" s="4" t="s">
        <v>18</v>
      </c>
      <c r="H20" s="3">
        <v>1.560550331</v>
      </c>
      <c r="I20" s="4" t="s">
        <v>90</v>
      </c>
      <c r="J20" s="4" t="s">
        <v>91</v>
      </c>
      <c r="K20" s="3" t="s">
        <v>92</v>
      </c>
      <c r="L20" s="4" t="s">
        <v>93</v>
      </c>
      <c r="M20" s="4" t="s">
        <v>8</v>
      </c>
      <c r="N20" s="1"/>
    </row>
    <row r="21" spans="1:14" ht="15.75" thickBot="1">
      <c r="A21" s="3">
        <v>18</v>
      </c>
      <c r="B21" s="4" t="s">
        <v>28</v>
      </c>
      <c r="C21" s="4" t="s">
        <v>14</v>
      </c>
      <c r="D21" s="4" t="s">
        <v>80</v>
      </c>
      <c r="E21" s="4" t="s">
        <v>81</v>
      </c>
      <c r="F21" s="4" t="s">
        <v>17</v>
      </c>
      <c r="G21" s="4" t="s">
        <v>18</v>
      </c>
      <c r="H21" s="3">
        <v>3.1523469550000001</v>
      </c>
      <c r="I21" s="4" t="s">
        <v>94</v>
      </c>
      <c r="J21" s="4" t="s">
        <v>95</v>
      </c>
      <c r="K21" s="3" t="s">
        <v>96</v>
      </c>
      <c r="L21" s="4" t="s">
        <v>97</v>
      </c>
      <c r="M21" s="4" t="s">
        <v>8</v>
      </c>
      <c r="N21" s="1"/>
    </row>
    <row r="22" spans="1:14" ht="15.75" thickBot="1">
      <c r="A22" s="3">
        <v>19</v>
      </c>
      <c r="B22" s="4" t="s">
        <v>28</v>
      </c>
      <c r="C22" s="4" t="s">
        <v>14</v>
      </c>
      <c r="D22" s="4" t="s">
        <v>80</v>
      </c>
      <c r="E22" s="4" t="s">
        <v>81</v>
      </c>
      <c r="F22" s="4" t="s">
        <v>17</v>
      </c>
      <c r="G22" s="4" t="s">
        <v>18</v>
      </c>
      <c r="H22" s="3">
        <v>1.331711742</v>
      </c>
      <c r="I22" s="4" t="s">
        <v>98</v>
      </c>
      <c r="J22" s="4" t="s">
        <v>99</v>
      </c>
      <c r="K22" s="3" t="s">
        <v>100</v>
      </c>
      <c r="L22" s="4" t="s">
        <v>101</v>
      </c>
      <c r="M22" s="4" t="s">
        <v>8</v>
      </c>
      <c r="N22" s="1"/>
    </row>
    <row r="23" spans="1:14" ht="15.75" thickBot="1">
      <c r="A23" s="3">
        <v>20</v>
      </c>
      <c r="B23" s="4" t="s">
        <v>67</v>
      </c>
      <c r="C23" s="4" t="s">
        <v>14</v>
      </c>
      <c r="D23" s="4" t="s">
        <v>80</v>
      </c>
      <c r="E23" s="4" t="s">
        <v>81</v>
      </c>
      <c r="F23" s="4" t="s">
        <v>17</v>
      </c>
      <c r="G23" s="4" t="s">
        <v>18</v>
      </c>
      <c r="H23" s="3">
        <v>0.15119537399999999</v>
      </c>
      <c r="I23" s="4" t="s">
        <v>102</v>
      </c>
      <c r="J23" s="4" t="s">
        <v>103</v>
      </c>
      <c r="K23" s="3" t="s">
        <v>104</v>
      </c>
      <c r="L23" s="4" t="s">
        <v>105</v>
      </c>
      <c r="M23" s="4" t="s">
        <v>8</v>
      </c>
      <c r="N23" s="1"/>
    </row>
    <row r="24" spans="1:14" ht="15.75" thickBot="1">
      <c r="A24" s="3">
        <v>21</v>
      </c>
      <c r="B24" s="4" t="s">
        <v>28</v>
      </c>
      <c r="C24" s="4" t="s">
        <v>14</v>
      </c>
      <c r="D24" s="4" t="s">
        <v>80</v>
      </c>
      <c r="E24" s="4" t="s">
        <v>81</v>
      </c>
      <c r="F24" s="4" t="s">
        <v>17</v>
      </c>
      <c r="G24" s="4" t="s">
        <v>18</v>
      </c>
      <c r="H24" s="3">
        <v>0.113965789</v>
      </c>
      <c r="I24" s="4" t="s">
        <v>106</v>
      </c>
      <c r="J24" s="4" t="s">
        <v>107</v>
      </c>
      <c r="K24" s="3" t="s">
        <v>108</v>
      </c>
      <c r="L24" s="4" t="s">
        <v>109</v>
      </c>
      <c r="M24" s="4" t="s">
        <v>8</v>
      </c>
      <c r="N24" s="1"/>
    </row>
    <row r="25" spans="1:14" ht="15.75" thickBot="1">
      <c r="A25" s="3">
        <v>22</v>
      </c>
      <c r="B25" s="4" t="s">
        <v>44</v>
      </c>
      <c r="C25" s="4" t="s">
        <v>14</v>
      </c>
      <c r="D25" s="4" t="s">
        <v>80</v>
      </c>
      <c r="E25" s="4" t="s">
        <v>81</v>
      </c>
      <c r="F25" s="4" t="s">
        <v>17</v>
      </c>
      <c r="G25" s="4" t="s">
        <v>18</v>
      </c>
      <c r="H25" s="3">
        <v>0.10340205199999999</v>
      </c>
      <c r="I25" s="4" t="s">
        <v>110</v>
      </c>
      <c r="J25" s="4" t="s">
        <v>111</v>
      </c>
      <c r="K25" s="3" t="s">
        <v>112</v>
      </c>
      <c r="L25" s="4" t="s">
        <v>113</v>
      </c>
      <c r="M25" s="4" t="s">
        <v>8</v>
      </c>
      <c r="N25" s="1"/>
    </row>
    <row r="26" spans="1:14" ht="15.75" thickBot="1">
      <c r="A26" s="3">
        <v>23</v>
      </c>
      <c r="B26" s="4" t="s">
        <v>114</v>
      </c>
      <c r="C26" s="4" t="s">
        <v>14</v>
      </c>
      <c r="D26" s="4" t="s">
        <v>115</v>
      </c>
      <c r="E26" s="4" t="s">
        <v>116</v>
      </c>
      <c r="F26" s="4" t="s">
        <v>17</v>
      </c>
      <c r="G26" s="4" t="s">
        <v>117</v>
      </c>
      <c r="H26" s="3">
        <v>1.011082362</v>
      </c>
      <c r="I26" s="4" t="s">
        <v>118</v>
      </c>
      <c r="J26" s="4" t="s">
        <v>119</v>
      </c>
      <c r="K26" s="3" t="s">
        <v>120</v>
      </c>
      <c r="L26" s="4" t="s">
        <v>121</v>
      </c>
      <c r="M26" s="4" t="s">
        <v>8</v>
      </c>
      <c r="N26" s="1"/>
    </row>
    <row r="27" spans="1:14" ht="15.75" thickBot="1">
      <c r="A27" s="3">
        <v>24</v>
      </c>
      <c r="B27" s="4" t="s">
        <v>114</v>
      </c>
      <c r="C27" s="4" t="s">
        <v>14</v>
      </c>
      <c r="D27" s="4" t="s">
        <v>115</v>
      </c>
      <c r="E27" s="4" t="s">
        <v>116</v>
      </c>
      <c r="F27" s="4" t="s">
        <v>17</v>
      </c>
      <c r="G27" s="4" t="s">
        <v>117</v>
      </c>
      <c r="H27" s="3">
        <v>1.107917638</v>
      </c>
      <c r="I27" s="4" t="s">
        <v>122</v>
      </c>
      <c r="J27" s="4" t="s">
        <v>123</v>
      </c>
      <c r="K27" s="3" t="s">
        <v>124</v>
      </c>
      <c r="L27" s="4" t="s">
        <v>125</v>
      </c>
      <c r="M27" s="4" t="s">
        <v>8</v>
      </c>
      <c r="N27" s="1"/>
    </row>
    <row r="28" spans="1:14" ht="15.75" thickBot="1">
      <c r="A28" s="3">
        <v>25</v>
      </c>
      <c r="B28" s="4" t="s">
        <v>28</v>
      </c>
      <c r="C28" s="4" t="s">
        <v>14</v>
      </c>
      <c r="D28" s="4" t="s">
        <v>126</v>
      </c>
      <c r="E28" s="4" t="s">
        <v>127</v>
      </c>
      <c r="F28" s="4" t="s">
        <v>17</v>
      </c>
      <c r="G28" s="4" t="s">
        <v>18</v>
      </c>
      <c r="H28" s="3">
        <v>1.0328911759999999</v>
      </c>
      <c r="I28" s="4" t="s">
        <v>128</v>
      </c>
      <c r="J28" s="4" t="s">
        <v>129</v>
      </c>
      <c r="K28" s="3" t="s">
        <v>130</v>
      </c>
      <c r="L28" s="4" t="s">
        <v>131</v>
      </c>
      <c r="M28" s="4" t="s">
        <v>8</v>
      </c>
      <c r="N28" s="1"/>
    </row>
    <row r="29" spans="1:14" ht="15.75" thickBot="1">
      <c r="A29" s="3">
        <v>26</v>
      </c>
      <c r="B29" s="4" t="s">
        <v>28</v>
      </c>
      <c r="C29" s="4" t="s">
        <v>14</v>
      </c>
      <c r="D29" s="4" t="s">
        <v>126</v>
      </c>
      <c r="E29" s="4" t="s">
        <v>127</v>
      </c>
      <c r="F29" s="4" t="s">
        <v>17</v>
      </c>
      <c r="G29" s="4" t="s">
        <v>18</v>
      </c>
      <c r="H29" s="3">
        <v>1.9472119800000001</v>
      </c>
      <c r="I29" s="4" t="s">
        <v>94</v>
      </c>
      <c r="J29" s="4" t="s">
        <v>95</v>
      </c>
      <c r="K29" s="3" t="s">
        <v>132</v>
      </c>
      <c r="L29" s="4" t="s">
        <v>97</v>
      </c>
      <c r="M29" s="4" t="s">
        <v>8</v>
      </c>
      <c r="N29" s="1"/>
    </row>
    <row r="30" spans="1:14" ht="15.75" thickBot="1">
      <c r="A30" s="3">
        <v>27</v>
      </c>
      <c r="B30" s="4" t="s">
        <v>28</v>
      </c>
      <c r="C30" s="4" t="s">
        <v>14</v>
      </c>
      <c r="D30" s="4" t="s">
        <v>126</v>
      </c>
      <c r="E30" s="4" t="s">
        <v>127</v>
      </c>
      <c r="F30" s="4" t="s">
        <v>17</v>
      </c>
      <c r="G30" s="4" t="s">
        <v>18</v>
      </c>
      <c r="H30" s="3">
        <v>1.1775074759999999</v>
      </c>
      <c r="I30" s="4" t="s">
        <v>133</v>
      </c>
      <c r="J30" s="4" t="s">
        <v>134</v>
      </c>
      <c r="K30" s="3" t="s">
        <v>135</v>
      </c>
      <c r="L30" s="4" t="s">
        <v>136</v>
      </c>
      <c r="M30" s="4" t="s">
        <v>8</v>
      </c>
      <c r="N30" s="1"/>
    </row>
    <row r="31" spans="1:14" ht="15.75" thickBot="1">
      <c r="A31" s="3">
        <v>28</v>
      </c>
      <c r="B31" s="4" t="s">
        <v>114</v>
      </c>
      <c r="C31" s="4" t="s">
        <v>14</v>
      </c>
      <c r="D31" s="4" t="s">
        <v>126</v>
      </c>
      <c r="E31" s="4" t="s">
        <v>127</v>
      </c>
      <c r="F31" s="4" t="s">
        <v>17</v>
      </c>
      <c r="G31" s="4" t="s">
        <v>18</v>
      </c>
      <c r="H31" s="3">
        <v>0.23025612300000001</v>
      </c>
      <c r="I31" s="4" t="s">
        <v>137</v>
      </c>
      <c r="J31" s="4" t="s">
        <v>138</v>
      </c>
      <c r="K31" s="3" t="s">
        <v>139</v>
      </c>
      <c r="L31" s="4" t="s">
        <v>140</v>
      </c>
      <c r="M31" s="4" t="s">
        <v>8</v>
      </c>
      <c r="N31" s="1"/>
    </row>
    <row r="32" spans="1:14" ht="15.75" thickBot="1">
      <c r="A32" s="3">
        <v>29</v>
      </c>
      <c r="B32" s="4" t="s">
        <v>28</v>
      </c>
      <c r="C32" s="4" t="s">
        <v>14</v>
      </c>
      <c r="D32" s="4" t="s">
        <v>126</v>
      </c>
      <c r="E32" s="4" t="s">
        <v>127</v>
      </c>
      <c r="F32" s="4" t="s">
        <v>17</v>
      </c>
      <c r="G32" s="4" t="s">
        <v>18</v>
      </c>
      <c r="H32" s="3">
        <v>0.77462160999999996</v>
      </c>
      <c r="I32" s="4" t="s">
        <v>141</v>
      </c>
      <c r="J32" s="4" t="s">
        <v>142</v>
      </c>
      <c r="K32" s="3" t="s">
        <v>143</v>
      </c>
      <c r="L32" s="4" t="s">
        <v>144</v>
      </c>
      <c r="M32" s="4" t="s">
        <v>8</v>
      </c>
      <c r="N32" s="1"/>
    </row>
    <row r="33" spans="1:14" ht="15.75" thickBot="1">
      <c r="A33" s="3">
        <v>30</v>
      </c>
      <c r="B33" s="4" t="s">
        <v>28</v>
      </c>
      <c r="C33" s="4" t="s">
        <v>14</v>
      </c>
      <c r="D33" s="4" t="s">
        <v>126</v>
      </c>
      <c r="E33" s="4" t="s">
        <v>127</v>
      </c>
      <c r="F33" s="4" t="s">
        <v>17</v>
      </c>
      <c r="G33" s="4" t="s">
        <v>18</v>
      </c>
      <c r="H33" s="3">
        <v>1.137511634</v>
      </c>
      <c r="I33" s="4" t="s">
        <v>145</v>
      </c>
      <c r="J33" s="4" t="s">
        <v>146</v>
      </c>
      <c r="K33" s="3" t="s">
        <v>147</v>
      </c>
      <c r="L33" s="4" t="s">
        <v>148</v>
      </c>
      <c r="M33" s="4" t="s">
        <v>8</v>
      </c>
      <c r="N33" s="1"/>
    </row>
    <row r="34" spans="1:14" ht="15.75" thickBot="1">
      <c r="A34" s="3">
        <v>31</v>
      </c>
      <c r="B34" s="4" t="s">
        <v>28</v>
      </c>
      <c r="C34" s="4" t="s">
        <v>14</v>
      </c>
      <c r="D34" s="4" t="s">
        <v>149</v>
      </c>
      <c r="E34" s="4" t="s">
        <v>150</v>
      </c>
      <c r="F34" s="4" t="s">
        <v>17</v>
      </c>
      <c r="G34" s="4" t="s">
        <v>18</v>
      </c>
      <c r="H34" s="3">
        <v>2.814057193</v>
      </c>
      <c r="I34" s="4" t="s">
        <v>29</v>
      </c>
      <c r="J34" s="4" t="s">
        <v>30</v>
      </c>
      <c r="K34" s="3" t="s">
        <v>31</v>
      </c>
      <c r="L34" s="4" t="s">
        <v>32</v>
      </c>
      <c r="M34" s="4" t="s">
        <v>8</v>
      </c>
      <c r="N34" s="1"/>
    </row>
    <row r="35" spans="1:14" ht="15.75" thickBot="1">
      <c r="A35" s="3">
        <v>32</v>
      </c>
      <c r="B35" s="4" t="s">
        <v>13</v>
      </c>
      <c r="C35" s="4" t="s">
        <v>14</v>
      </c>
      <c r="D35" s="4" t="s">
        <v>149</v>
      </c>
      <c r="E35" s="4" t="s">
        <v>150</v>
      </c>
      <c r="F35" s="4" t="s">
        <v>17</v>
      </c>
      <c r="G35" s="4" t="s">
        <v>18</v>
      </c>
      <c r="H35" s="3">
        <v>0.29625560499999998</v>
      </c>
      <c r="I35" s="4" t="s">
        <v>33</v>
      </c>
      <c r="J35" s="4" t="s">
        <v>34</v>
      </c>
      <c r="K35" s="3" t="s">
        <v>35</v>
      </c>
      <c r="L35" s="4" t="s">
        <v>36</v>
      </c>
      <c r="M35" s="4" t="s">
        <v>8</v>
      </c>
      <c r="N35" s="1"/>
    </row>
    <row r="36" spans="1:14" ht="15.75" thickBot="1">
      <c r="A36" s="3">
        <v>33</v>
      </c>
      <c r="B36" s="4" t="s">
        <v>13</v>
      </c>
      <c r="C36" s="4" t="s">
        <v>14</v>
      </c>
      <c r="D36" s="4" t="s">
        <v>149</v>
      </c>
      <c r="E36" s="4" t="s">
        <v>150</v>
      </c>
      <c r="F36" s="4" t="s">
        <v>17</v>
      </c>
      <c r="G36" s="4" t="s">
        <v>18</v>
      </c>
      <c r="H36" s="3">
        <v>9.0431660999999997E-2</v>
      </c>
      <c r="I36" s="4" t="s">
        <v>37</v>
      </c>
      <c r="J36" s="4" t="s">
        <v>38</v>
      </c>
      <c r="K36" s="3" t="s">
        <v>39</v>
      </c>
      <c r="L36" s="4" t="s">
        <v>40</v>
      </c>
      <c r="M36" s="4" t="s">
        <v>8</v>
      </c>
      <c r="N36" s="1"/>
    </row>
    <row r="37" spans="1:14" ht="15.75" thickBot="1">
      <c r="A37" s="3">
        <v>34</v>
      </c>
      <c r="B37" s="4" t="s">
        <v>13</v>
      </c>
      <c r="C37" s="4" t="s">
        <v>14</v>
      </c>
      <c r="D37" s="4" t="s">
        <v>149</v>
      </c>
      <c r="E37" s="4" t="s">
        <v>150</v>
      </c>
      <c r="F37" s="4" t="s">
        <v>17</v>
      </c>
      <c r="G37" s="4" t="s">
        <v>18</v>
      </c>
      <c r="H37" s="3">
        <v>1.2255540000000001E-2</v>
      </c>
      <c r="I37" s="4" t="s">
        <v>41</v>
      </c>
      <c r="J37" s="4" t="s">
        <v>42</v>
      </c>
      <c r="K37" s="3" t="s">
        <v>43</v>
      </c>
      <c r="L37" s="4" t="s">
        <v>41</v>
      </c>
      <c r="M37" s="4" t="s">
        <v>8</v>
      </c>
      <c r="N37" s="1"/>
    </row>
    <row r="38" spans="1:14" ht="15.75" thickBot="1">
      <c r="A38" s="3">
        <v>35</v>
      </c>
      <c r="B38" s="4" t="s">
        <v>28</v>
      </c>
      <c r="C38" s="4" t="s">
        <v>14</v>
      </c>
      <c r="D38" s="4" t="s">
        <v>151</v>
      </c>
      <c r="E38" s="4" t="s">
        <v>152</v>
      </c>
      <c r="F38" s="4" t="s">
        <v>17</v>
      </c>
      <c r="G38" s="4" t="s">
        <v>117</v>
      </c>
      <c r="H38" s="3">
        <v>10.388497644999999</v>
      </c>
      <c r="I38" s="4" t="s">
        <v>153</v>
      </c>
      <c r="J38" s="4" t="s">
        <v>154</v>
      </c>
      <c r="K38" s="3" t="s">
        <v>155</v>
      </c>
      <c r="L38" s="4" t="s">
        <v>156</v>
      </c>
      <c r="M38" s="4" t="s">
        <v>8</v>
      </c>
      <c r="N38" s="1"/>
    </row>
    <row r="39" spans="1:14" ht="15.75" thickBot="1">
      <c r="A39" s="3">
        <v>36</v>
      </c>
      <c r="B39" s="4" t="s">
        <v>28</v>
      </c>
      <c r="C39" s="4" t="s">
        <v>14</v>
      </c>
      <c r="D39" s="4" t="s">
        <v>151</v>
      </c>
      <c r="E39" s="4" t="s">
        <v>152</v>
      </c>
      <c r="F39" s="4" t="s">
        <v>17</v>
      </c>
      <c r="G39" s="4" t="s">
        <v>117</v>
      </c>
      <c r="H39" s="3">
        <v>33.855151468999999</v>
      </c>
      <c r="I39" s="4" t="s">
        <v>157</v>
      </c>
      <c r="J39" s="4" t="s">
        <v>158</v>
      </c>
      <c r="K39" s="3" t="s">
        <v>159</v>
      </c>
      <c r="L39" s="4" t="s">
        <v>160</v>
      </c>
      <c r="M39" s="4" t="s">
        <v>8</v>
      </c>
      <c r="N39" s="1"/>
    </row>
    <row r="40" spans="1:14" ht="15.75" thickBot="1">
      <c r="A40" s="3">
        <v>37</v>
      </c>
      <c r="B40" s="4" t="s">
        <v>13</v>
      </c>
      <c r="C40" s="4" t="s">
        <v>14</v>
      </c>
      <c r="D40" s="4" t="s">
        <v>151</v>
      </c>
      <c r="E40" s="4" t="s">
        <v>152</v>
      </c>
      <c r="F40" s="4" t="s">
        <v>17</v>
      </c>
      <c r="G40" s="4" t="s">
        <v>117</v>
      </c>
      <c r="H40" s="3">
        <v>11.185015591000001</v>
      </c>
      <c r="I40" s="4" t="s">
        <v>19</v>
      </c>
      <c r="J40" s="4" t="s">
        <v>20</v>
      </c>
      <c r="K40" s="3" t="s">
        <v>21</v>
      </c>
      <c r="L40" s="4" t="s">
        <v>22</v>
      </c>
      <c r="M40" s="4" t="s">
        <v>8</v>
      </c>
      <c r="N40" s="1"/>
    </row>
    <row r="41" spans="1:14" ht="15.75" thickBot="1">
      <c r="A41" s="3">
        <v>38</v>
      </c>
      <c r="B41" s="4" t="s">
        <v>23</v>
      </c>
      <c r="C41" s="4" t="s">
        <v>14</v>
      </c>
      <c r="D41" s="4" t="s">
        <v>151</v>
      </c>
      <c r="E41" s="4" t="s">
        <v>152</v>
      </c>
      <c r="F41" s="4" t="s">
        <v>17</v>
      </c>
      <c r="G41" s="4" t="s">
        <v>117</v>
      </c>
      <c r="H41" s="3">
        <v>5.7169345629999997</v>
      </c>
      <c r="I41" s="4" t="s">
        <v>24</v>
      </c>
      <c r="J41" s="4" t="s">
        <v>25</v>
      </c>
      <c r="K41" s="3" t="s">
        <v>26</v>
      </c>
      <c r="L41" s="4" t="s">
        <v>27</v>
      </c>
      <c r="M41" s="4" t="s">
        <v>8</v>
      </c>
      <c r="N41" s="1"/>
    </row>
    <row r="42" spans="1:14" ht="15.75" thickBot="1">
      <c r="A42" s="3">
        <v>39</v>
      </c>
      <c r="B42" s="4" t="s">
        <v>28</v>
      </c>
      <c r="C42" s="4" t="s">
        <v>14</v>
      </c>
      <c r="D42" s="4" t="s">
        <v>151</v>
      </c>
      <c r="E42" s="4" t="s">
        <v>152</v>
      </c>
      <c r="F42" s="4" t="s">
        <v>17</v>
      </c>
      <c r="G42" s="4" t="s">
        <v>117</v>
      </c>
      <c r="H42" s="3">
        <v>90.794126754000004</v>
      </c>
      <c r="I42" s="4" t="s">
        <v>161</v>
      </c>
      <c r="J42" s="4" t="s">
        <v>162</v>
      </c>
      <c r="K42" s="3" t="s">
        <v>163</v>
      </c>
      <c r="L42" s="4" t="s">
        <v>164</v>
      </c>
      <c r="M42" s="4" t="s">
        <v>8</v>
      </c>
      <c r="N42" s="1"/>
    </row>
    <row r="43" spans="1:14" ht="15.75" thickBot="1">
      <c r="A43" s="3">
        <v>40</v>
      </c>
      <c r="B43" s="4" t="s">
        <v>28</v>
      </c>
      <c r="C43" s="4" t="s">
        <v>14</v>
      </c>
      <c r="D43" s="4" t="s">
        <v>151</v>
      </c>
      <c r="E43" s="4" t="s">
        <v>152</v>
      </c>
      <c r="F43" s="4" t="s">
        <v>17</v>
      </c>
      <c r="G43" s="4" t="s">
        <v>117</v>
      </c>
      <c r="H43" s="3">
        <v>32.891907983000003</v>
      </c>
      <c r="I43" s="4" t="s">
        <v>165</v>
      </c>
      <c r="J43" s="4" t="s">
        <v>166</v>
      </c>
      <c r="K43" s="3" t="s">
        <v>167</v>
      </c>
      <c r="L43" s="4" t="s">
        <v>168</v>
      </c>
      <c r="M43" s="4" t="s">
        <v>8</v>
      </c>
      <c r="N43" s="1"/>
    </row>
    <row r="44" spans="1:14" ht="15.75" thickBot="1">
      <c r="A44" s="3">
        <v>41</v>
      </c>
      <c r="B44" s="4" t="s">
        <v>114</v>
      </c>
      <c r="C44" s="4" t="s">
        <v>14</v>
      </c>
      <c r="D44" s="4" t="s">
        <v>151</v>
      </c>
      <c r="E44" s="4" t="s">
        <v>152</v>
      </c>
      <c r="F44" s="4" t="s">
        <v>17</v>
      </c>
      <c r="G44" s="4" t="s">
        <v>117</v>
      </c>
      <c r="H44" s="3">
        <v>5.4451191129999996</v>
      </c>
      <c r="I44" s="4" t="s">
        <v>169</v>
      </c>
      <c r="J44" s="4" t="s">
        <v>170</v>
      </c>
      <c r="K44" s="3" t="s">
        <v>171</v>
      </c>
      <c r="L44" s="4" t="s">
        <v>172</v>
      </c>
      <c r="M44" s="4" t="s">
        <v>8</v>
      </c>
      <c r="N44" s="1"/>
    </row>
    <row r="45" spans="1:14" ht="15.75" thickBot="1">
      <c r="A45" s="3">
        <v>42</v>
      </c>
      <c r="B45" s="4" t="s">
        <v>173</v>
      </c>
      <c r="C45" s="4" t="s">
        <v>14</v>
      </c>
      <c r="D45" s="4" t="s">
        <v>151</v>
      </c>
      <c r="E45" s="4" t="s">
        <v>152</v>
      </c>
      <c r="F45" s="4" t="s">
        <v>17</v>
      </c>
      <c r="G45" s="4" t="s">
        <v>117</v>
      </c>
      <c r="H45" s="3">
        <v>4.9212203629999998</v>
      </c>
      <c r="I45" s="4" t="s">
        <v>174</v>
      </c>
      <c r="J45" s="4" t="s">
        <v>175</v>
      </c>
      <c r="K45" s="3" t="s">
        <v>176</v>
      </c>
      <c r="L45" s="4" t="s">
        <v>177</v>
      </c>
      <c r="M45" s="4" t="s">
        <v>8</v>
      </c>
      <c r="N45" s="1"/>
    </row>
    <row r="46" spans="1:14" ht="15.75" thickBot="1">
      <c r="A46" s="3">
        <v>43</v>
      </c>
      <c r="B46" s="4" t="s">
        <v>178</v>
      </c>
      <c r="C46" s="4" t="s">
        <v>14</v>
      </c>
      <c r="D46" s="4" t="s">
        <v>151</v>
      </c>
      <c r="E46" s="4" t="s">
        <v>152</v>
      </c>
      <c r="F46" s="4" t="s">
        <v>17</v>
      </c>
      <c r="G46" s="4" t="s">
        <v>117</v>
      </c>
      <c r="H46" s="3">
        <v>1.713594888</v>
      </c>
      <c r="I46" s="4" t="s">
        <v>179</v>
      </c>
      <c r="J46" s="4" t="s">
        <v>180</v>
      </c>
      <c r="K46" s="3" t="s">
        <v>181</v>
      </c>
      <c r="L46" s="4" t="s">
        <v>182</v>
      </c>
      <c r="M46" s="4" t="s">
        <v>8</v>
      </c>
      <c r="N46" s="1"/>
    </row>
    <row r="47" spans="1:14" ht="15.75" thickBot="1">
      <c r="A47" s="3">
        <v>44</v>
      </c>
      <c r="B47" s="4" t="s">
        <v>173</v>
      </c>
      <c r="C47" s="4" t="s">
        <v>14</v>
      </c>
      <c r="D47" s="4" t="s">
        <v>151</v>
      </c>
      <c r="E47" s="4" t="s">
        <v>152</v>
      </c>
      <c r="F47" s="4" t="s">
        <v>17</v>
      </c>
      <c r="G47" s="4" t="s">
        <v>117</v>
      </c>
      <c r="H47" s="3">
        <v>3.7668836259999998</v>
      </c>
      <c r="I47" s="4" t="s">
        <v>183</v>
      </c>
      <c r="J47" s="4" t="s">
        <v>184</v>
      </c>
      <c r="K47" s="3" t="s">
        <v>185</v>
      </c>
      <c r="L47" s="4" t="s">
        <v>186</v>
      </c>
      <c r="M47" s="4" t="s">
        <v>8</v>
      </c>
      <c r="N47" s="1"/>
    </row>
    <row r="48" spans="1:14" ht="15.75" thickBot="1">
      <c r="A48" s="3">
        <v>45</v>
      </c>
      <c r="B48" s="4" t="s">
        <v>28</v>
      </c>
      <c r="C48" s="4" t="s">
        <v>14</v>
      </c>
      <c r="D48" s="4" t="s">
        <v>151</v>
      </c>
      <c r="E48" s="4" t="s">
        <v>152</v>
      </c>
      <c r="F48" s="4" t="s">
        <v>17</v>
      </c>
      <c r="G48" s="4" t="s">
        <v>117</v>
      </c>
      <c r="H48" s="3">
        <v>7.3122521029999996</v>
      </c>
      <c r="I48" s="4" t="s">
        <v>187</v>
      </c>
      <c r="J48" s="4" t="s">
        <v>188</v>
      </c>
      <c r="K48" s="3" t="s">
        <v>189</v>
      </c>
      <c r="L48" s="4" t="s">
        <v>190</v>
      </c>
      <c r="M48" s="4" t="s">
        <v>8</v>
      </c>
      <c r="N48" s="1"/>
    </row>
    <row r="49" spans="1:14" ht="15.75" thickBot="1">
      <c r="A49" s="3">
        <v>46</v>
      </c>
      <c r="B49" s="4" t="s">
        <v>114</v>
      </c>
      <c r="C49" s="4" t="s">
        <v>14</v>
      </c>
      <c r="D49" s="4" t="s">
        <v>151</v>
      </c>
      <c r="E49" s="4" t="s">
        <v>152</v>
      </c>
      <c r="F49" s="4" t="s">
        <v>17</v>
      </c>
      <c r="G49" s="4" t="s">
        <v>117</v>
      </c>
      <c r="H49" s="3">
        <v>11.788847387000001</v>
      </c>
      <c r="I49" s="4" t="s">
        <v>191</v>
      </c>
      <c r="J49" s="4" t="s">
        <v>192</v>
      </c>
      <c r="K49" s="3" t="s">
        <v>193</v>
      </c>
      <c r="L49" s="4" t="s">
        <v>194</v>
      </c>
      <c r="M49" s="4" t="s">
        <v>8</v>
      </c>
      <c r="N49" s="1"/>
    </row>
    <row r="50" spans="1:14" ht="15.75" thickBot="1">
      <c r="A50" s="3">
        <v>47</v>
      </c>
      <c r="B50" s="4" t="s">
        <v>44</v>
      </c>
      <c r="C50" s="4" t="s">
        <v>14</v>
      </c>
      <c r="D50" s="4" t="s">
        <v>151</v>
      </c>
      <c r="E50" s="4" t="s">
        <v>152</v>
      </c>
      <c r="F50" s="4" t="s">
        <v>17</v>
      </c>
      <c r="G50" s="4" t="s">
        <v>117</v>
      </c>
      <c r="H50" s="3">
        <v>6.9147386859999997</v>
      </c>
      <c r="I50" s="4" t="s">
        <v>45</v>
      </c>
      <c r="J50" s="4" t="s">
        <v>46</v>
      </c>
      <c r="K50" s="3" t="s">
        <v>47</v>
      </c>
      <c r="L50" s="4" t="s">
        <v>48</v>
      </c>
      <c r="M50" s="4" t="s">
        <v>8</v>
      </c>
      <c r="N50" s="1"/>
    </row>
    <row r="51" spans="1:14" ht="15.75" thickBot="1">
      <c r="A51" s="3">
        <v>48</v>
      </c>
      <c r="B51" s="4" t="s">
        <v>195</v>
      </c>
      <c r="C51" s="4" t="s">
        <v>14</v>
      </c>
      <c r="D51" s="4" t="s">
        <v>151</v>
      </c>
      <c r="E51" s="4" t="s">
        <v>152</v>
      </c>
      <c r="F51" s="4" t="s">
        <v>17</v>
      </c>
      <c r="G51" s="4" t="s">
        <v>117</v>
      </c>
      <c r="H51" s="3">
        <v>8.6974405739999998</v>
      </c>
      <c r="I51" s="4" t="s">
        <v>196</v>
      </c>
      <c r="J51" s="4" t="s">
        <v>197</v>
      </c>
      <c r="K51" s="3" t="s">
        <v>198</v>
      </c>
      <c r="L51" s="4" t="s">
        <v>199</v>
      </c>
      <c r="M51" s="4" t="s">
        <v>8</v>
      </c>
      <c r="N51" s="1"/>
    </row>
    <row r="52" spans="1:14" ht="15.75" thickBot="1">
      <c r="A52" s="3">
        <v>49</v>
      </c>
      <c r="B52" s="4" t="s">
        <v>44</v>
      </c>
      <c r="C52" s="4" t="s">
        <v>14</v>
      </c>
      <c r="D52" s="4" t="s">
        <v>151</v>
      </c>
      <c r="E52" s="4" t="s">
        <v>152</v>
      </c>
      <c r="F52" s="4" t="s">
        <v>17</v>
      </c>
      <c r="G52" s="4" t="s">
        <v>117</v>
      </c>
      <c r="H52" s="3">
        <v>16.754845370000002</v>
      </c>
      <c r="I52" s="4" t="s">
        <v>200</v>
      </c>
      <c r="J52" s="4" t="s">
        <v>201</v>
      </c>
      <c r="K52" s="3" t="s">
        <v>202</v>
      </c>
      <c r="L52" s="4" t="s">
        <v>203</v>
      </c>
      <c r="M52" s="4" t="s">
        <v>8</v>
      </c>
      <c r="N52" s="1"/>
    </row>
    <row r="53" spans="1:14" ht="15.75" thickBot="1">
      <c r="A53" s="3">
        <v>50</v>
      </c>
      <c r="B53" s="4" t="s">
        <v>195</v>
      </c>
      <c r="C53" s="4" t="s">
        <v>14</v>
      </c>
      <c r="D53" s="4" t="s">
        <v>151</v>
      </c>
      <c r="E53" s="4" t="s">
        <v>152</v>
      </c>
      <c r="F53" s="4" t="s">
        <v>17</v>
      </c>
      <c r="G53" s="4" t="s">
        <v>117</v>
      </c>
      <c r="H53" s="3">
        <v>8.0141250050000004</v>
      </c>
      <c r="I53" s="4" t="s">
        <v>204</v>
      </c>
      <c r="J53" s="4" t="s">
        <v>205</v>
      </c>
      <c r="K53" s="3" t="s">
        <v>206</v>
      </c>
      <c r="L53" s="4" t="s">
        <v>207</v>
      </c>
      <c r="M53" s="4" t="s">
        <v>8</v>
      </c>
      <c r="N53" s="1"/>
    </row>
    <row r="54" spans="1:14" ht="15.75" thickBot="1">
      <c r="A54" s="3">
        <v>51</v>
      </c>
      <c r="B54" s="4" t="s">
        <v>67</v>
      </c>
      <c r="C54" s="4" t="s">
        <v>14</v>
      </c>
      <c r="D54" s="4" t="s">
        <v>151</v>
      </c>
      <c r="E54" s="4" t="s">
        <v>152</v>
      </c>
      <c r="F54" s="4" t="s">
        <v>17</v>
      </c>
      <c r="G54" s="4" t="s">
        <v>117</v>
      </c>
      <c r="H54" s="3">
        <v>1.2900286379999999</v>
      </c>
      <c r="I54" s="4" t="s">
        <v>208</v>
      </c>
      <c r="J54" s="4" t="s">
        <v>209</v>
      </c>
      <c r="K54" s="3" t="s">
        <v>210</v>
      </c>
      <c r="L54" s="4" t="s">
        <v>211</v>
      </c>
      <c r="M54" s="4" t="s">
        <v>8</v>
      </c>
      <c r="N54" s="1"/>
    </row>
    <row r="55" spans="1:14" ht="15.75" thickBot="1">
      <c r="A55" s="3">
        <v>52</v>
      </c>
      <c r="B55" s="4" t="s">
        <v>28</v>
      </c>
      <c r="C55" s="4" t="s">
        <v>14</v>
      </c>
      <c r="D55" s="4" t="s">
        <v>151</v>
      </c>
      <c r="E55" s="4" t="s">
        <v>152</v>
      </c>
      <c r="F55" s="4" t="s">
        <v>17</v>
      </c>
      <c r="G55" s="4" t="s">
        <v>117</v>
      </c>
      <c r="H55" s="3">
        <v>41.742486016000001</v>
      </c>
      <c r="I55" s="4" t="s">
        <v>212</v>
      </c>
      <c r="J55" s="4" t="s">
        <v>213</v>
      </c>
      <c r="K55" s="3" t="s">
        <v>214</v>
      </c>
      <c r="L55" s="4" t="s">
        <v>215</v>
      </c>
      <c r="M55" s="4" t="s">
        <v>8</v>
      </c>
      <c r="N55" s="1"/>
    </row>
    <row r="56" spans="1:14" ht="15.75" thickBot="1">
      <c r="A56" s="3">
        <v>53</v>
      </c>
      <c r="B56" s="4" t="s">
        <v>28</v>
      </c>
      <c r="C56" s="4" t="s">
        <v>14</v>
      </c>
      <c r="D56" s="4" t="s">
        <v>151</v>
      </c>
      <c r="E56" s="4" t="s">
        <v>152</v>
      </c>
      <c r="F56" s="4" t="s">
        <v>17</v>
      </c>
      <c r="G56" s="4" t="s">
        <v>117</v>
      </c>
      <c r="H56" s="3">
        <v>3.410979191</v>
      </c>
      <c r="I56" s="4" t="s">
        <v>49</v>
      </c>
      <c r="J56" s="4" t="s">
        <v>50</v>
      </c>
      <c r="K56" s="3" t="s">
        <v>51</v>
      </c>
      <c r="L56" s="4" t="s">
        <v>52</v>
      </c>
      <c r="M56" s="4" t="s">
        <v>8</v>
      </c>
      <c r="N56" s="1"/>
    </row>
    <row r="57" spans="1:14" ht="15.75" thickBot="1">
      <c r="A57" s="3">
        <v>54</v>
      </c>
      <c r="B57" s="4" t="s">
        <v>28</v>
      </c>
      <c r="C57" s="4" t="s">
        <v>14</v>
      </c>
      <c r="D57" s="4" t="s">
        <v>151</v>
      </c>
      <c r="E57" s="4" t="s">
        <v>152</v>
      </c>
      <c r="F57" s="4" t="s">
        <v>17</v>
      </c>
      <c r="G57" s="4" t="s">
        <v>117</v>
      </c>
      <c r="H57" s="3">
        <v>11.365065755</v>
      </c>
      <c r="I57" s="4" t="s">
        <v>53</v>
      </c>
      <c r="J57" s="4" t="s">
        <v>54</v>
      </c>
      <c r="K57" s="3" t="s">
        <v>55</v>
      </c>
      <c r="L57" s="4" t="s">
        <v>56</v>
      </c>
      <c r="M57" s="4" t="s">
        <v>8</v>
      </c>
      <c r="N57" s="1"/>
    </row>
    <row r="58" spans="1:14" ht="15.75" thickBot="1">
      <c r="A58" s="3">
        <v>55</v>
      </c>
      <c r="B58" s="4" t="s">
        <v>28</v>
      </c>
      <c r="C58" s="4" t="s">
        <v>14</v>
      </c>
      <c r="D58" s="4" t="s">
        <v>151</v>
      </c>
      <c r="E58" s="4" t="s">
        <v>152</v>
      </c>
      <c r="F58" s="4" t="s">
        <v>17</v>
      </c>
      <c r="G58" s="4" t="s">
        <v>117</v>
      </c>
      <c r="H58" s="3">
        <v>68.675145549000007</v>
      </c>
      <c r="I58" s="4" t="s">
        <v>57</v>
      </c>
      <c r="J58" s="4" t="s">
        <v>58</v>
      </c>
      <c r="K58" s="3" t="s">
        <v>59</v>
      </c>
      <c r="L58" s="4" t="s">
        <v>60</v>
      </c>
      <c r="M58" s="4" t="s">
        <v>8</v>
      </c>
      <c r="N58" s="1"/>
    </row>
    <row r="59" spans="1:14" ht="15.75" thickBot="1">
      <c r="A59" s="3">
        <v>56</v>
      </c>
      <c r="B59" s="4" t="s">
        <v>13</v>
      </c>
      <c r="C59" s="4" t="s">
        <v>14</v>
      </c>
      <c r="D59" s="4" t="s">
        <v>151</v>
      </c>
      <c r="E59" s="4" t="s">
        <v>152</v>
      </c>
      <c r="F59" s="4" t="s">
        <v>17</v>
      </c>
      <c r="G59" s="4" t="s">
        <v>117</v>
      </c>
      <c r="H59" s="3">
        <v>111.283593732</v>
      </c>
      <c r="I59" s="4" t="s">
        <v>216</v>
      </c>
      <c r="J59" s="4" t="s">
        <v>217</v>
      </c>
      <c r="K59" s="3" t="s">
        <v>218</v>
      </c>
      <c r="L59" s="4" t="s">
        <v>219</v>
      </c>
      <c r="M59" s="4" t="s">
        <v>8</v>
      </c>
      <c r="N59" s="1"/>
    </row>
    <row r="60" spans="1:14" ht="15.75" thickBot="1">
      <c r="A60" s="3">
        <v>57</v>
      </c>
      <c r="B60" s="4" t="s">
        <v>13</v>
      </c>
      <c r="C60" s="4" t="s">
        <v>14</v>
      </c>
      <c r="D60" s="4" t="s">
        <v>220</v>
      </c>
      <c r="E60" s="4" t="s">
        <v>221</v>
      </c>
      <c r="F60" s="4" t="s">
        <v>17</v>
      </c>
      <c r="G60" s="4" t="s">
        <v>117</v>
      </c>
      <c r="H60" s="3">
        <v>0.65816032700000004</v>
      </c>
      <c r="I60" s="4" t="s">
        <v>222</v>
      </c>
      <c r="J60" s="4" t="s">
        <v>223</v>
      </c>
      <c r="K60" s="3" t="s">
        <v>224</v>
      </c>
      <c r="L60" s="4" t="s">
        <v>225</v>
      </c>
      <c r="M60" s="4" t="s">
        <v>8</v>
      </c>
      <c r="N60" s="1"/>
    </row>
    <row r="61" spans="1:14" ht="15.75" thickBot="1">
      <c r="A61" s="3">
        <v>58</v>
      </c>
      <c r="B61" s="4" t="s">
        <v>13</v>
      </c>
      <c r="C61" s="4" t="s">
        <v>14</v>
      </c>
      <c r="D61" s="4" t="s">
        <v>220</v>
      </c>
      <c r="E61" s="4" t="s">
        <v>221</v>
      </c>
      <c r="F61" s="4" t="s">
        <v>17</v>
      </c>
      <c r="G61" s="4" t="s">
        <v>117</v>
      </c>
      <c r="H61" s="3">
        <v>0.66571298700000003</v>
      </c>
      <c r="I61" s="4" t="s">
        <v>226</v>
      </c>
      <c r="J61" s="4" t="s">
        <v>227</v>
      </c>
      <c r="K61" s="3" t="s">
        <v>228</v>
      </c>
      <c r="L61" s="4" t="s">
        <v>229</v>
      </c>
      <c r="M61" s="4" t="s">
        <v>8</v>
      </c>
      <c r="N61" s="1"/>
    </row>
    <row r="62" spans="1:14" ht="15.75" thickBot="1">
      <c r="A62" s="3">
        <v>59</v>
      </c>
      <c r="B62" s="4" t="s">
        <v>13</v>
      </c>
      <c r="C62" s="4" t="s">
        <v>14</v>
      </c>
      <c r="D62" s="4" t="s">
        <v>220</v>
      </c>
      <c r="E62" s="4" t="s">
        <v>221</v>
      </c>
      <c r="F62" s="4" t="s">
        <v>17</v>
      </c>
      <c r="G62" s="4" t="s">
        <v>117</v>
      </c>
      <c r="H62" s="3">
        <v>0.456126686</v>
      </c>
      <c r="I62" s="4" t="s">
        <v>230</v>
      </c>
      <c r="J62" s="4" t="s">
        <v>231</v>
      </c>
      <c r="K62" s="3" t="s">
        <v>232</v>
      </c>
      <c r="L62" s="4" t="s">
        <v>233</v>
      </c>
      <c r="M62" s="4" t="s">
        <v>8</v>
      </c>
      <c r="N62" s="1"/>
    </row>
    <row r="63" spans="1:14" ht="15.75" thickBot="1">
      <c r="A63" s="3">
        <v>60</v>
      </c>
      <c r="B63" s="4" t="s">
        <v>28</v>
      </c>
      <c r="C63" s="4" t="s">
        <v>14</v>
      </c>
      <c r="D63" s="4" t="s">
        <v>234</v>
      </c>
      <c r="E63" s="4" t="s">
        <v>235</v>
      </c>
      <c r="F63" s="4" t="s">
        <v>17</v>
      </c>
      <c r="G63" s="4" t="s">
        <v>236</v>
      </c>
      <c r="H63" s="3">
        <v>7.6590314000000007E-2</v>
      </c>
      <c r="I63" s="4" t="s">
        <v>237</v>
      </c>
      <c r="J63" s="4" t="s">
        <v>238</v>
      </c>
      <c r="K63" s="3" t="s">
        <v>239</v>
      </c>
      <c r="L63" s="4" t="s">
        <v>240</v>
      </c>
      <c r="M63" s="4" t="s">
        <v>8</v>
      </c>
      <c r="N63" s="1"/>
    </row>
    <row r="64" spans="1:14" ht="15.75" thickBot="1">
      <c r="A64" s="3">
        <v>61</v>
      </c>
      <c r="B64" s="4" t="s">
        <v>28</v>
      </c>
      <c r="C64" s="4" t="s">
        <v>14</v>
      </c>
      <c r="D64" s="4" t="s">
        <v>234</v>
      </c>
      <c r="E64" s="4" t="s">
        <v>235</v>
      </c>
      <c r="F64" s="4" t="s">
        <v>17</v>
      </c>
      <c r="G64" s="4" t="s">
        <v>236</v>
      </c>
      <c r="H64" s="3">
        <v>0.11595124499999999</v>
      </c>
      <c r="I64" s="4" t="s">
        <v>153</v>
      </c>
      <c r="J64" s="4" t="s">
        <v>154</v>
      </c>
      <c r="K64" s="3" t="s">
        <v>155</v>
      </c>
      <c r="L64" s="4" t="s">
        <v>156</v>
      </c>
      <c r="M64" s="4" t="s">
        <v>8</v>
      </c>
      <c r="N64" s="1"/>
    </row>
    <row r="65" spans="1:14" ht="15.75" thickBot="1">
      <c r="A65" s="3">
        <v>62</v>
      </c>
      <c r="B65" s="4" t="s">
        <v>28</v>
      </c>
      <c r="C65" s="4" t="s">
        <v>14</v>
      </c>
      <c r="D65" s="4" t="s">
        <v>234</v>
      </c>
      <c r="E65" s="4" t="s">
        <v>235</v>
      </c>
      <c r="F65" s="4" t="s">
        <v>17</v>
      </c>
      <c r="G65" s="4" t="s">
        <v>236</v>
      </c>
      <c r="H65" s="3">
        <v>0.37787436699999999</v>
      </c>
      <c r="I65" s="4" t="s">
        <v>157</v>
      </c>
      <c r="J65" s="4" t="s">
        <v>158</v>
      </c>
      <c r="K65" s="3" t="s">
        <v>159</v>
      </c>
      <c r="L65" s="4" t="s">
        <v>160</v>
      </c>
      <c r="M65" s="4" t="s">
        <v>8</v>
      </c>
      <c r="N65" s="1"/>
    </row>
    <row r="66" spans="1:14" ht="15.75" thickBot="1">
      <c r="A66" s="3">
        <v>63</v>
      </c>
      <c r="B66" s="4" t="s">
        <v>28</v>
      </c>
      <c r="C66" s="4" t="s">
        <v>14</v>
      </c>
      <c r="D66" s="4" t="s">
        <v>234</v>
      </c>
      <c r="E66" s="4" t="s">
        <v>235</v>
      </c>
      <c r="F66" s="4" t="s">
        <v>17</v>
      </c>
      <c r="G66" s="4" t="s">
        <v>236</v>
      </c>
      <c r="H66" s="3">
        <v>0.12914587499999999</v>
      </c>
      <c r="I66" s="4" t="s">
        <v>241</v>
      </c>
      <c r="J66" s="4" t="s">
        <v>242</v>
      </c>
      <c r="K66" s="3" t="s">
        <v>243</v>
      </c>
      <c r="L66" s="4" t="s">
        <v>244</v>
      </c>
      <c r="M66" s="4" t="s">
        <v>8</v>
      </c>
      <c r="N66" s="1"/>
    </row>
    <row r="67" spans="1:14" ht="15.75" thickBot="1">
      <c r="A67" s="3">
        <v>64</v>
      </c>
      <c r="B67" s="4" t="s">
        <v>13</v>
      </c>
      <c r="C67" s="4" t="s">
        <v>14</v>
      </c>
      <c r="D67" s="4" t="s">
        <v>234</v>
      </c>
      <c r="E67" s="4" t="s">
        <v>235</v>
      </c>
      <c r="F67" s="4" t="s">
        <v>17</v>
      </c>
      <c r="G67" s="4" t="s">
        <v>236</v>
      </c>
      <c r="H67" s="3">
        <v>0.23970623199999999</v>
      </c>
      <c r="I67" s="4" t="s">
        <v>19</v>
      </c>
      <c r="J67" s="4" t="s">
        <v>20</v>
      </c>
      <c r="K67" s="3" t="s">
        <v>21</v>
      </c>
      <c r="L67" s="4" t="s">
        <v>22</v>
      </c>
      <c r="M67" s="4" t="s">
        <v>8</v>
      </c>
      <c r="N67" s="1"/>
    </row>
    <row r="68" spans="1:14" ht="15.75" thickBot="1">
      <c r="A68" s="3">
        <v>65</v>
      </c>
      <c r="B68" s="4" t="s">
        <v>23</v>
      </c>
      <c r="C68" s="4" t="s">
        <v>14</v>
      </c>
      <c r="D68" s="4" t="s">
        <v>234</v>
      </c>
      <c r="E68" s="4" t="s">
        <v>235</v>
      </c>
      <c r="F68" s="4" t="s">
        <v>17</v>
      </c>
      <c r="G68" s="4" t="s">
        <v>236</v>
      </c>
      <c r="H68" s="3">
        <v>0.10914908800000001</v>
      </c>
      <c r="I68" s="4" t="s">
        <v>24</v>
      </c>
      <c r="J68" s="4" t="s">
        <v>25</v>
      </c>
      <c r="K68" s="3" t="s">
        <v>26</v>
      </c>
      <c r="L68" s="4" t="s">
        <v>27</v>
      </c>
      <c r="M68" s="4" t="s">
        <v>8</v>
      </c>
      <c r="N68" s="1"/>
    </row>
    <row r="69" spans="1:14" ht="15.75" thickBot="1">
      <c r="A69" s="3">
        <v>66</v>
      </c>
      <c r="B69" s="4" t="s">
        <v>245</v>
      </c>
      <c r="C69" s="4" t="s">
        <v>14</v>
      </c>
      <c r="D69" s="4" t="s">
        <v>234</v>
      </c>
      <c r="E69" s="4" t="s">
        <v>235</v>
      </c>
      <c r="F69" s="4" t="s">
        <v>17</v>
      </c>
      <c r="G69" s="4" t="s">
        <v>236</v>
      </c>
      <c r="H69" s="3">
        <v>0.148857084</v>
      </c>
      <c r="I69" s="4" t="s">
        <v>246</v>
      </c>
      <c r="J69" s="4" t="s">
        <v>247</v>
      </c>
      <c r="K69" s="3" t="s">
        <v>248</v>
      </c>
      <c r="L69" s="4" t="s">
        <v>249</v>
      </c>
      <c r="M69" s="4" t="s">
        <v>8</v>
      </c>
      <c r="N69" s="1"/>
    </row>
    <row r="70" spans="1:14" ht="15.75" thickBot="1">
      <c r="A70" s="3">
        <v>67</v>
      </c>
      <c r="B70" s="4" t="s">
        <v>28</v>
      </c>
      <c r="C70" s="4" t="s">
        <v>14</v>
      </c>
      <c r="D70" s="4" t="s">
        <v>234</v>
      </c>
      <c r="E70" s="4" t="s">
        <v>235</v>
      </c>
      <c r="F70" s="4" t="s">
        <v>17</v>
      </c>
      <c r="G70" s="4" t="s">
        <v>236</v>
      </c>
      <c r="H70" s="3">
        <v>0.51402635500000005</v>
      </c>
      <c r="I70" s="4" t="s">
        <v>250</v>
      </c>
      <c r="J70" s="4" t="s">
        <v>251</v>
      </c>
      <c r="K70" s="3" t="s">
        <v>252</v>
      </c>
      <c r="L70" s="4" t="s">
        <v>253</v>
      </c>
      <c r="M70" s="4" t="s">
        <v>8</v>
      </c>
      <c r="N70" s="1"/>
    </row>
    <row r="71" spans="1:14" ht="15.75" thickBot="1">
      <c r="A71" s="3">
        <v>68</v>
      </c>
      <c r="B71" s="4" t="s">
        <v>28</v>
      </c>
      <c r="C71" s="4" t="s">
        <v>14</v>
      </c>
      <c r="D71" s="4" t="s">
        <v>234</v>
      </c>
      <c r="E71" s="4" t="s">
        <v>235</v>
      </c>
      <c r="F71" s="4" t="s">
        <v>17</v>
      </c>
      <c r="G71" s="4" t="s">
        <v>236</v>
      </c>
      <c r="H71" s="3">
        <v>0.76141671600000005</v>
      </c>
      <c r="I71" s="4" t="s">
        <v>254</v>
      </c>
      <c r="J71" s="4" t="s">
        <v>255</v>
      </c>
      <c r="K71" s="3" t="s">
        <v>256</v>
      </c>
      <c r="L71" s="4" t="s">
        <v>257</v>
      </c>
      <c r="M71" s="4" t="s">
        <v>8</v>
      </c>
      <c r="N71" s="1"/>
    </row>
    <row r="72" spans="1:14" ht="15.75" thickBot="1">
      <c r="A72" s="3">
        <v>69</v>
      </c>
      <c r="B72" s="4" t="s">
        <v>28</v>
      </c>
      <c r="C72" s="4" t="s">
        <v>14</v>
      </c>
      <c r="D72" s="4" t="s">
        <v>234</v>
      </c>
      <c r="E72" s="4" t="s">
        <v>235</v>
      </c>
      <c r="F72" s="4" t="s">
        <v>17</v>
      </c>
      <c r="G72" s="4" t="s">
        <v>236</v>
      </c>
      <c r="H72" s="3">
        <v>0.55837793000000002</v>
      </c>
      <c r="I72" s="4" t="s">
        <v>161</v>
      </c>
      <c r="J72" s="4" t="s">
        <v>162</v>
      </c>
      <c r="K72" s="3" t="s">
        <v>163</v>
      </c>
      <c r="L72" s="4" t="s">
        <v>164</v>
      </c>
      <c r="M72" s="4" t="s">
        <v>8</v>
      </c>
      <c r="N72" s="1"/>
    </row>
    <row r="73" spans="1:14" ht="15.75" thickBot="1">
      <c r="A73" s="3">
        <v>70</v>
      </c>
      <c r="B73" s="4" t="s">
        <v>28</v>
      </c>
      <c r="C73" s="4" t="s">
        <v>14</v>
      </c>
      <c r="D73" s="4" t="s">
        <v>234</v>
      </c>
      <c r="E73" s="4" t="s">
        <v>235</v>
      </c>
      <c r="F73" s="4" t="s">
        <v>17</v>
      </c>
      <c r="G73" s="4" t="s">
        <v>236</v>
      </c>
      <c r="H73" s="3">
        <v>0.202283079</v>
      </c>
      <c r="I73" s="4" t="s">
        <v>165</v>
      </c>
      <c r="J73" s="4" t="s">
        <v>166</v>
      </c>
      <c r="K73" s="3" t="s">
        <v>167</v>
      </c>
      <c r="L73" s="4" t="s">
        <v>168</v>
      </c>
      <c r="M73" s="4" t="s">
        <v>8</v>
      </c>
      <c r="N73" s="1"/>
    </row>
    <row r="74" spans="1:14" ht="15.75" thickBot="1">
      <c r="A74" s="3">
        <v>71</v>
      </c>
      <c r="B74" s="4" t="s">
        <v>28</v>
      </c>
      <c r="C74" s="4" t="s">
        <v>14</v>
      </c>
      <c r="D74" s="4" t="s">
        <v>234</v>
      </c>
      <c r="E74" s="4" t="s">
        <v>235</v>
      </c>
      <c r="F74" s="4" t="s">
        <v>17</v>
      </c>
      <c r="G74" s="4" t="s">
        <v>236</v>
      </c>
      <c r="H74" s="3">
        <v>0.59738197999999998</v>
      </c>
      <c r="I74" s="4" t="s">
        <v>258</v>
      </c>
      <c r="J74" s="4" t="s">
        <v>259</v>
      </c>
      <c r="K74" s="3" t="s">
        <v>260</v>
      </c>
      <c r="L74" s="4" t="s">
        <v>261</v>
      </c>
      <c r="M74" s="4" t="s">
        <v>8</v>
      </c>
      <c r="N74" s="1"/>
    </row>
    <row r="75" spans="1:14" ht="15.75" thickBot="1">
      <c r="A75" s="3">
        <v>72</v>
      </c>
      <c r="B75" s="4" t="s">
        <v>13</v>
      </c>
      <c r="C75" s="4" t="s">
        <v>14</v>
      </c>
      <c r="D75" s="4" t="s">
        <v>234</v>
      </c>
      <c r="E75" s="4" t="s">
        <v>235</v>
      </c>
      <c r="F75" s="4" t="s">
        <v>17</v>
      </c>
      <c r="G75" s="4" t="s">
        <v>236</v>
      </c>
      <c r="H75" s="3">
        <v>1.0775714279999999</v>
      </c>
      <c r="I75" s="4" t="s">
        <v>262</v>
      </c>
      <c r="J75" s="4" t="s">
        <v>263</v>
      </c>
      <c r="K75" s="3" t="s">
        <v>264</v>
      </c>
      <c r="L75" s="4" t="s">
        <v>265</v>
      </c>
      <c r="M75" s="4" t="s">
        <v>8</v>
      </c>
      <c r="N75" s="1"/>
    </row>
    <row r="76" spans="1:14" ht="15.75" thickBot="1">
      <c r="A76" s="3">
        <v>73</v>
      </c>
      <c r="B76" s="4" t="s">
        <v>13</v>
      </c>
      <c r="C76" s="4" t="s">
        <v>14</v>
      </c>
      <c r="D76" s="4" t="s">
        <v>234</v>
      </c>
      <c r="E76" s="4" t="s">
        <v>235</v>
      </c>
      <c r="F76" s="4" t="s">
        <v>17</v>
      </c>
      <c r="G76" s="4" t="s">
        <v>236</v>
      </c>
      <c r="H76" s="3">
        <v>2.2983997079999998</v>
      </c>
      <c r="I76" s="4" t="s">
        <v>266</v>
      </c>
      <c r="J76" s="4" t="s">
        <v>267</v>
      </c>
      <c r="K76" s="3" t="s">
        <v>268</v>
      </c>
      <c r="L76" s="4" t="s">
        <v>269</v>
      </c>
      <c r="M76" s="4" t="s">
        <v>8</v>
      </c>
      <c r="N76" s="1"/>
    </row>
    <row r="77" spans="1:14" ht="15.75" thickBot="1">
      <c r="A77" s="3">
        <v>74</v>
      </c>
      <c r="B77" s="4" t="s">
        <v>114</v>
      </c>
      <c r="C77" s="4" t="s">
        <v>14</v>
      </c>
      <c r="D77" s="4" t="s">
        <v>234</v>
      </c>
      <c r="E77" s="4" t="s">
        <v>235</v>
      </c>
      <c r="F77" s="4" t="s">
        <v>17</v>
      </c>
      <c r="G77" s="4" t="s">
        <v>236</v>
      </c>
      <c r="H77" s="3">
        <v>6.0775712000000003E-2</v>
      </c>
      <c r="I77" s="4" t="s">
        <v>169</v>
      </c>
      <c r="J77" s="4" t="s">
        <v>170</v>
      </c>
      <c r="K77" s="3" t="s">
        <v>171</v>
      </c>
      <c r="L77" s="4" t="s">
        <v>172</v>
      </c>
      <c r="M77" s="4" t="s">
        <v>8</v>
      </c>
      <c r="N77" s="1"/>
    </row>
    <row r="78" spans="1:14" ht="15.75" thickBot="1">
      <c r="A78" s="3">
        <v>75</v>
      </c>
      <c r="B78" s="4" t="s">
        <v>173</v>
      </c>
      <c r="C78" s="4" t="s">
        <v>14</v>
      </c>
      <c r="D78" s="4" t="s">
        <v>234</v>
      </c>
      <c r="E78" s="4" t="s">
        <v>235</v>
      </c>
      <c r="F78" s="4" t="s">
        <v>17</v>
      </c>
      <c r="G78" s="4" t="s">
        <v>236</v>
      </c>
      <c r="H78" s="3">
        <v>3.0265183000000001E-2</v>
      </c>
      <c r="I78" s="4" t="s">
        <v>174</v>
      </c>
      <c r="J78" s="4" t="s">
        <v>175</v>
      </c>
      <c r="K78" s="3" t="s">
        <v>176</v>
      </c>
      <c r="L78" s="4" t="s">
        <v>177</v>
      </c>
      <c r="M78" s="4" t="s">
        <v>8</v>
      </c>
      <c r="N78" s="1"/>
    </row>
    <row r="79" spans="1:14" ht="15.75" thickBot="1">
      <c r="A79" s="3">
        <v>76</v>
      </c>
      <c r="B79" s="4" t="s">
        <v>178</v>
      </c>
      <c r="C79" s="4" t="s">
        <v>14</v>
      </c>
      <c r="D79" s="4" t="s">
        <v>234</v>
      </c>
      <c r="E79" s="4" t="s">
        <v>235</v>
      </c>
      <c r="F79" s="4" t="s">
        <v>17</v>
      </c>
      <c r="G79" s="4" t="s">
        <v>236</v>
      </c>
      <c r="H79" s="3">
        <v>1.9126293999999999E-2</v>
      </c>
      <c r="I79" s="4" t="s">
        <v>179</v>
      </c>
      <c r="J79" s="4" t="s">
        <v>180</v>
      </c>
      <c r="K79" s="3" t="s">
        <v>181</v>
      </c>
      <c r="L79" s="4" t="s">
        <v>182</v>
      </c>
      <c r="M79" s="4" t="s">
        <v>8</v>
      </c>
      <c r="N79" s="1"/>
    </row>
    <row r="80" spans="1:14" ht="15.75" thickBot="1">
      <c r="A80" s="3">
        <v>77</v>
      </c>
      <c r="B80" s="4" t="s">
        <v>173</v>
      </c>
      <c r="C80" s="4" t="s">
        <v>14</v>
      </c>
      <c r="D80" s="4" t="s">
        <v>234</v>
      </c>
      <c r="E80" s="4" t="s">
        <v>235</v>
      </c>
      <c r="F80" s="4" t="s">
        <v>17</v>
      </c>
      <c r="G80" s="4" t="s">
        <v>236</v>
      </c>
      <c r="H80" s="3">
        <v>2.3166088000000001E-2</v>
      </c>
      <c r="I80" s="4" t="s">
        <v>183</v>
      </c>
      <c r="J80" s="4" t="s">
        <v>184</v>
      </c>
      <c r="K80" s="3" t="s">
        <v>185</v>
      </c>
      <c r="L80" s="4" t="s">
        <v>186</v>
      </c>
      <c r="M80" s="4" t="s">
        <v>8</v>
      </c>
      <c r="N80" s="1"/>
    </row>
    <row r="81" spans="1:14" ht="15.75" thickBot="1">
      <c r="A81" s="3">
        <v>78</v>
      </c>
      <c r="B81" s="4" t="s">
        <v>28</v>
      </c>
      <c r="C81" s="4" t="s">
        <v>14</v>
      </c>
      <c r="D81" s="4" t="s">
        <v>234</v>
      </c>
      <c r="E81" s="4" t="s">
        <v>235</v>
      </c>
      <c r="F81" s="4" t="s">
        <v>17</v>
      </c>
      <c r="G81" s="4" t="s">
        <v>236</v>
      </c>
      <c r="H81" s="3">
        <v>0.57093259900000004</v>
      </c>
      <c r="I81" s="4" t="s">
        <v>270</v>
      </c>
      <c r="J81" s="4" t="s">
        <v>271</v>
      </c>
      <c r="K81" s="3" t="s">
        <v>272</v>
      </c>
      <c r="L81" s="4" t="s">
        <v>273</v>
      </c>
      <c r="M81" s="4" t="s">
        <v>8</v>
      </c>
      <c r="N81" s="1"/>
    </row>
    <row r="82" spans="1:14" ht="15.75" thickBot="1">
      <c r="A82" s="3">
        <v>79</v>
      </c>
      <c r="B82" s="4" t="s">
        <v>28</v>
      </c>
      <c r="C82" s="4" t="s">
        <v>14</v>
      </c>
      <c r="D82" s="4" t="s">
        <v>234</v>
      </c>
      <c r="E82" s="4" t="s">
        <v>235</v>
      </c>
      <c r="F82" s="4" t="s">
        <v>17</v>
      </c>
      <c r="G82" s="4" t="s">
        <v>236</v>
      </c>
      <c r="H82" s="3">
        <v>8.1615722000000002E-2</v>
      </c>
      <c r="I82" s="4" t="s">
        <v>187</v>
      </c>
      <c r="J82" s="4" t="s">
        <v>188</v>
      </c>
      <c r="K82" s="3" t="s">
        <v>189</v>
      </c>
      <c r="L82" s="4" t="s">
        <v>190</v>
      </c>
      <c r="M82" s="4" t="s">
        <v>8</v>
      </c>
      <c r="N82" s="1"/>
    </row>
    <row r="83" spans="1:14" ht="15.75" thickBot="1">
      <c r="A83" s="3">
        <v>80</v>
      </c>
      <c r="B83" s="4" t="s">
        <v>28</v>
      </c>
      <c r="C83" s="4" t="s">
        <v>14</v>
      </c>
      <c r="D83" s="4" t="s">
        <v>234</v>
      </c>
      <c r="E83" s="4" t="s">
        <v>235</v>
      </c>
      <c r="F83" s="4" t="s">
        <v>17</v>
      </c>
      <c r="G83" s="4" t="s">
        <v>236</v>
      </c>
      <c r="H83" s="3">
        <v>1.577699645</v>
      </c>
      <c r="I83" s="4" t="s">
        <v>274</v>
      </c>
      <c r="J83" s="4" t="s">
        <v>275</v>
      </c>
      <c r="K83" s="3" t="s">
        <v>276</v>
      </c>
      <c r="L83" s="4" t="s">
        <v>277</v>
      </c>
      <c r="M83" s="4" t="s">
        <v>8</v>
      </c>
      <c r="N83" s="1"/>
    </row>
    <row r="84" spans="1:14" ht="15.75" thickBot="1">
      <c r="A84" s="3">
        <v>81</v>
      </c>
      <c r="B84" s="4" t="s">
        <v>114</v>
      </c>
      <c r="C84" s="4" t="s">
        <v>14</v>
      </c>
      <c r="D84" s="4" t="s">
        <v>234</v>
      </c>
      <c r="E84" s="4" t="s">
        <v>235</v>
      </c>
      <c r="F84" s="4" t="s">
        <v>17</v>
      </c>
      <c r="G84" s="4" t="s">
        <v>236</v>
      </c>
      <c r="H84" s="3">
        <v>0.95852096099999995</v>
      </c>
      <c r="I84" s="4" t="s">
        <v>278</v>
      </c>
      <c r="J84" s="4" t="s">
        <v>279</v>
      </c>
      <c r="K84" s="3" t="s">
        <v>280</v>
      </c>
      <c r="L84" s="4" t="s">
        <v>281</v>
      </c>
      <c r="M84" s="4" t="s">
        <v>8</v>
      </c>
      <c r="N84" s="1"/>
    </row>
    <row r="85" spans="1:14" ht="15.75" thickBot="1">
      <c r="A85" s="3">
        <v>82</v>
      </c>
      <c r="B85" s="4" t="s">
        <v>114</v>
      </c>
      <c r="C85" s="4" t="s">
        <v>14</v>
      </c>
      <c r="D85" s="4" t="s">
        <v>234</v>
      </c>
      <c r="E85" s="4" t="s">
        <v>235</v>
      </c>
      <c r="F85" s="4" t="s">
        <v>17</v>
      </c>
      <c r="G85" s="4" t="s">
        <v>236</v>
      </c>
      <c r="H85" s="3">
        <v>0.13158125300000001</v>
      </c>
      <c r="I85" s="4" t="s">
        <v>191</v>
      </c>
      <c r="J85" s="4" t="s">
        <v>192</v>
      </c>
      <c r="K85" s="3" t="s">
        <v>193</v>
      </c>
      <c r="L85" s="4" t="s">
        <v>194</v>
      </c>
      <c r="M85" s="4" t="s">
        <v>8</v>
      </c>
      <c r="N85" s="1"/>
    </row>
    <row r="86" spans="1:14" ht="15.75" thickBot="1">
      <c r="A86" s="3">
        <v>83</v>
      </c>
      <c r="B86" s="4" t="s">
        <v>44</v>
      </c>
      <c r="C86" s="4" t="s">
        <v>14</v>
      </c>
      <c r="D86" s="4" t="s">
        <v>234</v>
      </c>
      <c r="E86" s="4" t="s">
        <v>235</v>
      </c>
      <c r="F86" s="4" t="s">
        <v>17</v>
      </c>
      <c r="G86" s="4" t="s">
        <v>236</v>
      </c>
      <c r="H86" s="3">
        <v>0.13201785099999999</v>
      </c>
      <c r="I86" s="4" t="s">
        <v>45</v>
      </c>
      <c r="J86" s="4" t="s">
        <v>46</v>
      </c>
      <c r="K86" s="3" t="s">
        <v>47</v>
      </c>
      <c r="L86" s="4" t="s">
        <v>48</v>
      </c>
      <c r="M86" s="4" t="s">
        <v>8</v>
      </c>
      <c r="N86" s="1"/>
    </row>
    <row r="87" spans="1:14" ht="15.75" thickBot="1">
      <c r="A87" s="3">
        <v>84</v>
      </c>
      <c r="B87" s="4" t="s">
        <v>44</v>
      </c>
      <c r="C87" s="4" t="s">
        <v>14</v>
      </c>
      <c r="D87" s="4" t="s">
        <v>234</v>
      </c>
      <c r="E87" s="4" t="s">
        <v>235</v>
      </c>
      <c r="F87" s="4" t="s">
        <v>17</v>
      </c>
      <c r="G87" s="4" t="s">
        <v>236</v>
      </c>
      <c r="H87" s="3">
        <v>0.18700925299999999</v>
      </c>
      <c r="I87" s="4" t="s">
        <v>200</v>
      </c>
      <c r="J87" s="4" t="s">
        <v>201</v>
      </c>
      <c r="K87" s="3" t="s">
        <v>202</v>
      </c>
      <c r="L87" s="4" t="s">
        <v>203</v>
      </c>
      <c r="M87" s="4" t="s">
        <v>8</v>
      </c>
      <c r="N87" s="1"/>
    </row>
    <row r="88" spans="1:14" ht="15.75" thickBot="1">
      <c r="A88" s="3">
        <v>85</v>
      </c>
      <c r="B88" s="4" t="s">
        <v>67</v>
      </c>
      <c r="C88" s="4" t="s">
        <v>14</v>
      </c>
      <c r="D88" s="4" t="s">
        <v>234</v>
      </c>
      <c r="E88" s="4" t="s">
        <v>235</v>
      </c>
      <c r="F88" s="4" t="s">
        <v>17</v>
      </c>
      <c r="G88" s="4" t="s">
        <v>236</v>
      </c>
      <c r="H88" s="3">
        <v>7.9335919999999997E-3</v>
      </c>
      <c r="I88" s="4" t="s">
        <v>208</v>
      </c>
      <c r="J88" s="4" t="s">
        <v>209</v>
      </c>
      <c r="K88" s="3" t="s">
        <v>210</v>
      </c>
      <c r="L88" s="4" t="s">
        <v>211</v>
      </c>
      <c r="M88" s="4" t="s">
        <v>8</v>
      </c>
      <c r="N88" s="1"/>
    </row>
    <row r="89" spans="1:14" ht="15.75" thickBot="1">
      <c r="A89" s="3">
        <v>86</v>
      </c>
      <c r="B89" s="4" t="s">
        <v>28</v>
      </c>
      <c r="C89" s="4" t="s">
        <v>14</v>
      </c>
      <c r="D89" s="4" t="s">
        <v>234</v>
      </c>
      <c r="E89" s="4" t="s">
        <v>235</v>
      </c>
      <c r="F89" s="4" t="s">
        <v>17</v>
      </c>
      <c r="G89" s="4" t="s">
        <v>236</v>
      </c>
      <c r="H89" s="3">
        <v>0.465908873</v>
      </c>
      <c r="I89" s="4" t="s">
        <v>212</v>
      </c>
      <c r="J89" s="4" t="s">
        <v>213</v>
      </c>
      <c r="K89" s="3" t="s">
        <v>214</v>
      </c>
      <c r="L89" s="4" t="s">
        <v>215</v>
      </c>
      <c r="M89" s="4" t="s">
        <v>8</v>
      </c>
      <c r="N89" s="1"/>
    </row>
    <row r="90" spans="1:14" ht="15.75" thickBot="1">
      <c r="A90" s="3">
        <v>87</v>
      </c>
      <c r="B90" s="4" t="s">
        <v>28</v>
      </c>
      <c r="C90" s="4" t="s">
        <v>14</v>
      </c>
      <c r="D90" s="4" t="s">
        <v>234</v>
      </c>
      <c r="E90" s="4" t="s">
        <v>235</v>
      </c>
      <c r="F90" s="4" t="s">
        <v>17</v>
      </c>
      <c r="G90" s="4" t="s">
        <v>236</v>
      </c>
      <c r="H90" s="3">
        <v>6.5123234000000002E-2</v>
      </c>
      <c r="I90" s="4" t="s">
        <v>49</v>
      </c>
      <c r="J90" s="4" t="s">
        <v>50</v>
      </c>
      <c r="K90" s="3" t="s">
        <v>51</v>
      </c>
      <c r="L90" s="4" t="s">
        <v>52</v>
      </c>
      <c r="M90" s="4" t="s">
        <v>8</v>
      </c>
      <c r="N90" s="1"/>
    </row>
    <row r="91" spans="1:14" ht="15.75" thickBot="1">
      <c r="A91" s="3">
        <v>88</v>
      </c>
      <c r="B91" s="4" t="s">
        <v>28</v>
      </c>
      <c r="C91" s="4" t="s">
        <v>14</v>
      </c>
      <c r="D91" s="4" t="s">
        <v>234</v>
      </c>
      <c r="E91" s="4" t="s">
        <v>235</v>
      </c>
      <c r="F91" s="4" t="s">
        <v>17</v>
      </c>
      <c r="G91" s="4" t="s">
        <v>236</v>
      </c>
      <c r="H91" s="3">
        <v>0.21698456399999999</v>
      </c>
      <c r="I91" s="4" t="s">
        <v>53</v>
      </c>
      <c r="J91" s="4" t="s">
        <v>54</v>
      </c>
      <c r="K91" s="3" t="s">
        <v>55</v>
      </c>
      <c r="L91" s="4" t="s">
        <v>56</v>
      </c>
      <c r="M91" s="4" t="s">
        <v>8</v>
      </c>
      <c r="N91" s="1"/>
    </row>
    <row r="92" spans="1:14" ht="15.75" thickBot="1">
      <c r="A92" s="3">
        <v>89</v>
      </c>
      <c r="B92" s="4" t="s">
        <v>28</v>
      </c>
      <c r="C92" s="4" t="s">
        <v>14</v>
      </c>
      <c r="D92" s="4" t="s">
        <v>234</v>
      </c>
      <c r="E92" s="4" t="s">
        <v>235</v>
      </c>
      <c r="F92" s="4" t="s">
        <v>17</v>
      </c>
      <c r="G92" s="4" t="s">
        <v>236</v>
      </c>
      <c r="H92" s="3">
        <v>0.133353267</v>
      </c>
      <c r="I92" s="4" t="s">
        <v>282</v>
      </c>
      <c r="J92" s="4" t="s">
        <v>283</v>
      </c>
      <c r="K92" s="3" t="s">
        <v>284</v>
      </c>
      <c r="L92" s="4" t="s">
        <v>285</v>
      </c>
      <c r="M92" s="4" t="s">
        <v>8</v>
      </c>
      <c r="N92" s="1"/>
    </row>
    <row r="93" spans="1:14" ht="15.75" thickBot="1">
      <c r="A93" s="3">
        <v>90</v>
      </c>
      <c r="B93" s="4" t="s">
        <v>28</v>
      </c>
      <c r="C93" s="4" t="s">
        <v>14</v>
      </c>
      <c r="D93" s="4" t="s">
        <v>234</v>
      </c>
      <c r="E93" s="4" t="s">
        <v>235</v>
      </c>
      <c r="F93" s="4" t="s">
        <v>17</v>
      </c>
      <c r="G93" s="4" t="s">
        <v>236</v>
      </c>
      <c r="H93" s="3">
        <v>1.311162369</v>
      </c>
      <c r="I93" s="4" t="s">
        <v>57</v>
      </c>
      <c r="J93" s="4" t="s">
        <v>58</v>
      </c>
      <c r="K93" s="3" t="s">
        <v>59</v>
      </c>
      <c r="L93" s="4" t="s">
        <v>60</v>
      </c>
      <c r="M93" s="4" t="s">
        <v>8</v>
      </c>
      <c r="N93" s="1"/>
    </row>
    <row r="94" spans="1:14" ht="15.75" thickBot="1">
      <c r="A94" s="3">
        <v>91</v>
      </c>
      <c r="B94" s="4" t="s">
        <v>13</v>
      </c>
      <c r="C94" s="4" t="s">
        <v>14</v>
      </c>
      <c r="D94" s="4" t="s">
        <v>234</v>
      </c>
      <c r="E94" s="4" t="s">
        <v>235</v>
      </c>
      <c r="F94" s="4" t="s">
        <v>17</v>
      </c>
      <c r="G94" s="4" t="s">
        <v>236</v>
      </c>
      <c r="H94" s="3">
        <v>1.2420921380000001</v>
      </c>
      <c r="I94" s="4" t="s">
        <v>216</v>
      </c>
      <c r="J94" s="4" t="s">
        <v>217</v>
      </c>
      <c r="K94" s="3" t="s">
        <v>218</v>
      </c>
      <c r="L94" s="4" t="s">
        <v>219</v>
      </c>
      <c r="M94" s="4" t="s">
        <v>8</v>
      </c>
      <c r="N94" s="1"/>
    </row>
    <row r="95" spans="1:14" ht="15.75" thickBot="1">
      <c r="A95" s="3">
        <v>92</v>
      </c>
      <c r="B95" s="4" t="s">
        <v>286</v>
      </c>
      <c r="C95" s="4" t="s">
        <v>14</v>
      </c>
      <c r="D95" s="4" t="s">
        <v>287</v>
      </c>
      <c r="E95" s="4" t="s">
        <v>288</v>
      </c>
      <c r="F95" s="4" t="s">
        <v>17</v>
      </c>
      <c r="G95" s="4" t="s">
        <v>117</v>
      </c>
      <c r="H95" s="3">
        <v>0.66100000000000003</v>
      </c>
      <c r="I95" s="4" t="s">
        <v>289</v>
      </c>
      <c r="J95" s="4" t="s">
        <v>290</v>
      </c>
      <c r="K95" s="3" t="s">
        <v>291</v>
      </c>
      <c r="L95" s="4" t="s">
        <v>292</v>
      </c>
      <c r="M95" s="4" t="s">
        <v>8</v>
      </c>
      <c r="N95" s="1"/>
    </row>
    <row r="96" spans="1:14" ht="15.75" thickBot="1">
      <c r="A96" s="3">
        <v>93</v>
      </c>
      <c r="B96" s="4" t="s">
        <v>195</v>
      </c>
      <c r="C96" s="4" t="s">
        <v>14</v>
      </c>
      <c r="D96" s="4" t="s">
        <v>293</v>
      </c>
      <c r="E96" s="4" t="s">
        <v>294</v>
      </c>
      <c r="F96" s="4" t="s">
        <v>17</v>
      </c>
      <c r="G96" s="4" t="s">
        <v>117</v>
      </c>
      <c r="H96" s="3">
        <v>1.9798267890000001</v>
      </c>
      <c r="I96" s="4" t="s">
        <v>196</v>
      </c>
      <c r="J96" s="4" t="s">
        <v>197</v>
      </c>
      <c r="K96" s="3" t="s">
        <v>198</v>
      </c>
      <c r="L96" s="4" t="s">
        <v>199</v>
      </c>
      <c r="M96" s="4" t="s">
        <v>8</v>
      </c>
      <c r="N96" s="1"/>
    </row>
    <row r="97" spans="1:14" ht="15.75" thickBot="1">
      <c r="A97" s="3">
        <v>94</v>
      </c>
      <c r="B97" s="4" t="s">
        <v>195</v>
      </c>
      <c r="C97" s="4" t="s">
        <v>14</v>
      </c>
      <c r="D97" s="4" t="s">
        <v>293</v>
      </c>
      <c r="E97" s="4" t="s">
        <v>294</v>
      </c>
      <c r="F97" s="4" t="s">
        <v>17</v>
      </c>
      <c r="G97" s="4" t="s">
        <v>117</v>
      </c>
      <c r="H97" s="3">
        <v>1.8251732110000001</v>
      </c>
      <c r="I97" s="4" t="s">
        <v>204</v>
      </c>
      <c r="J97" s="4" t="s">
        <v>205</v>
      </c>
      <c r="K97" s="3" t="s">
        <v>206</v>
      </c>
      <c r="L97" s="4" t="s">
        <v>207</v>
      </c>
      <c r="M97" s="4" t="s">
        <v>8</v>
      </c>
      <c r="N97" s="1"/>
    </row>
    <row r="98" spans="1:14" ht="15.75" thickBot="1">
      <c r="A98" s="3">
        <v>95</v>
      </c>
      <c r="B98" s="4" t="s">
        <v>245</v>
      </c>
      <c r="C98" s="4" t="s">
        <v>14</v>
      </c>
      <c r="D98" s="4" t="s">
        <v>295</v>
      </c>
      <c r="E98" s="4" t="s">
        <v>296</v>
      </c>
      <c r="F98" s="4" t="s">
        <v>17</v>
      </c>
      <c r="G98" s="4" t="s">
        <v>18</v>
      </c>
      <c r="H98" s="3">
        <v>8.2819139999999999E-2</v>
      </c>
      <c r="I98" s="4" t="s">
        <v>246</v>
      </c>
      <c r="J98" s="4" t="s">
        <v>247</v>
      </c>
      <c r="K98" s="3" t="s">
        <v>248</v>
      </c>
      <c r="L98" s="4" t="s">
        <v>249</v>
      </c>
      <c r="M98" s="4" t="s">
        <v>8</v>
      </c>
      <c r="N98" s="1"/>
    </row>
    <row r="99" spans="1:14" ht="15.75" thickBot="1">
      <c r="A99" s="3">
        <v>96</v>
      </c>
      <c r="B99" s="4" t="s">
        <v>28</v>
      </c>
      <c r="C99" s="4" t="s">
        <v>14</v>
      </c>
      <c r="D99" s="4" t="s">
        <v>295</v>
      </c>
      <c r="E99" s="4" t="s">
        <v>296</v>
      </c>
      <c r="F99" s="4" t="s">
        <v>17</v>
      </c>
      <c r="G99" s="4" t="s">
        <v>18</v>
      </c>
      <c r="H99" s="3">
        <v>0.285013927</v>
      </c>
      <c r="I99" s="4" t="s">
        <v>250</v>
      </c>
      <c r="J99" s="4" t="s">
        <v>251</v>
      </c>
      <c r="K99" s="3" t="s">
        <v>252</v>
      </c>
      <c r="L99" s="4" t="s">
        <v>253</v>
      </c>
      <c r="M99" s="4" t="s">
        <v>8</v>
      </c>
      <c r="N99" s="1"/>
    </row>
    <row r="100" spans="1:14" ht="15.75" thickBot="1">
      <c r="A100" s="3">
        <v>97</v>
      </c>
      <c r="B100" s="4" t="s">
        <v>28</v>
      </c>
      <c r="C100" s="4" t="s">
        <v>14</v>
      </c>
      <c r="D100" s="4" t="s">
        <v>295</v>
      </c>
      <c r="E100" s="4" t="s">
        <v>296</v>
      </c>
      <c r="F100" s="4" t="s">
        <v>17</v>
      </c>
      <c r="G100" s="4" t="s">
        <v>18</v>
      </c>
      <c r="H100" s="3">
        <v>0.42295230900000003</v>
      </c>
      <c r="I100" s="4" t="s">
        <v>254</v>
      </c>
      <c r="J100" s="4" t="s">
        <v>255</v>
      </c>
      <c r="K100" s="3" t="s">
        <v>256</v>
      </c>
      <c r="L100" s="4" t="s">
        <v>257</v>
      </c>
      <c r="M100" s="4" t="s">
        <v>8</v>
      </c>
      <c r="N100" s="1"/>
    </row>
    <row r="101" spans="1:14" ht="15.75" thickBot="1">
      <c r="A101" s="3">
        <v>98</v>
      </c>
      <c r="B101" s="4" t="s">
        <v>28</v>
      </c>
      <c r="C101" s="4" t="s">
        <v>14</v>
      </c>
      <c r="D101" s="4" t="s">
        <v>295</v>
      </c>
      <c r="E101" s="4" t="s">
        <v>296</v>
      </c>
      <c r="F101" s="4" t="s">
        <v>17</v>
      </c>
      <c r="G101" s="4" t="s">
        <v>18</v>
      </c>
      <c r="H101" s="3">
        <v>0.33123240199999998</v>
      </c>
      <c r="I101" s="4" t="s">
        <v>258</v>
      </c>
      <c r="J101" s="4" t="s">
        <v>259</v>
      </c>
      <c r="K101" s="3" t="s">
        <v>260</v>
      </c>
      <c r="L101" s="4" t="s">
        <v>261</v>
      </c>
      <c r="M101" s="4" t="s">
        <v>8</v>
      </c>
      <c r="N101" s="1"/>
    </row>
    <row r="102" spans="1:14" ht="15.75" thickBot="1">
      <c r="A102" s="3">
        <v>99</v>
      </c>
      <c r="B102" s="4" t="s">
        <v>13</v>
      </c>
      <c r="C102" s="4" t="s">
        <v>14</v>
      </c>
      <c r="D102" s="4" t="s">
        <v>295</v>
      </c>
      <c r="E102" s="4" t="s">
        <v>296</v>
      </c>
      <c r="F102" s="4" t="s">
        <v>17</v>
      </c>
      <c r="G102" s="4" t="s">
        <v>18</v>
      </c>
      <c r="H102" s="3">
        <v>0.59802146</v>
      </c>
      <c r="I102" s="4" t="s">
        <v>262</v>
      </c>
      <c r="J102" s="4" t="s">
        <v>263</v>
      </c>
      <c r="K102" s="3" t="s">
        <v>264</v>
      </c>
      <c r="L102" s="4" t="s">
        <v>265</v>
      </c>
      <c r="M102" s="4" t="s">
        <v>8</v>
      </c>
      <c r="N102" s="1"/>
    </row>
    <row r="103" spans="1:14" ht="15.75" thickBot="1">
      <c r="A103" s="3">
        <v>100</v>
      </c>
      <c r="B103" s="4" t="s">
        <v>28</v>
      </c>
      <c r="C103" s="4" t="s">
        <v>14</v>
      </c>
      <c r="D103" s="4" t="s">
        <v>295</v>
      </c>
      <c r="E103" s="4" t="s">
        <v>296</v>
      </c>
      <c r="F103" s="4" t="s">
        <v>17</v>
      </c>
      <c r="G103" s="4" t="s">
        <v>18</v>
      </c>
      <c r="H103" s="3">
        <v>0.31656692400000003</v>
      </c>
      <c r="I103" s="4" t="s">
        <v>270</v>
      </c>
      <c r="J103" s="4" t="s">
        <v>271</v>
      </c>
      <c r="K103" s="3" t="s">
        <v>272</v>
      </c>
      <c r="L103" s="4" t="s">
        <v>273</v>
      </c>
      <c r="M103" s="4" t="s">
        <v>8</v>
      </c>
      <c r="N103" s="1"/>
    </row>
    <row r="104" spans="1:14" ht="15.75" thickBot="1">
      <c r="A104" s="3">
        <v>101</v>
      </c>
      <c r="B104" s="4" t="s">
        <v>28</v>
      </c>
      <c r="C104" s="4" t="s">
        <v>14</v>
      </c>
      <c r="D104" s="4" t="s">
        <v>295</v>
      </c>
      <c r="E104" s="4" t="s">
        <v>296</v>
      </c>
      <c r="F104" s="4" t="s">
        <v>17</v>
      </c>
      <c r="G104" s="4" t="s">
        <v>18</v>
      </c>
      <c r="H104" s="3">
        <v>0.87036682799999998</v>
      </c>
      <c r="I104" s="4" t="s">
        <v>274</v>
      </c>
      <c r="J104" s="4" t="s">
        <v>275</v>
      </c>
      <c r="K104" s="3" t="s">
        <v>276</v>
      </c>
      <c r="L104" s="4" t="s">
        <v>277</v>
      </c>
      <c r="M104" s="4" t="s">
        <v>8</v>
      </c>
      <c r="N104" s="1"/>
    </row>
    <row r="105" spans="1:14" ht="15.75" thickBot="1">
      <c r="A105" s="3">
        <v>102</v>
      </c>
      <c r="B105" s="4" t="s">
        <v>114</v>
      </c>
      <c r="C105" s="4" t="s">
        <v>14</v>
      </c>
      <c r="D105" s="4" t="s">
        <v>295</v>
      </c>
      <c r="E105" s="4" t="s">
        <v>296</v>
      </c>
      <c r="F105" s="4" t="s">
        <v>17</v>
      </c>
      <c r="G105" s="4" t="s">
        <v>18</v>
      </c>
      <c r="H105" s="3">
        <v>0.53195183999999995</v>
      </c>
      <c r="I105" s="4" t="s">
        <v>278</v>
      </c>
      <c r="J105" s="4" t="s">
        <v>279</v>
      </c>
      <c r="K105" s="3" t="s">
        <v>280</v>
      </c>
      <c r="L105" s="4" t="s">
        <v>281</v>
      </c>
      <c r="M105" s="4" t="s">
        <v>8</v>
      </c>
      <c r="N105" s="1"/>
    </row>
    <row r="106" spans="1:14" ht="15.75" thickBot="1">
      <c r="A106" s="3">
        <v>103</v>
      </c>
      <c r="B106" s="4" t="s">
        <v>28</v>
      </c>
      <c r="C106" s="4" t="s">
        <v>14</v>
      </c>
      <c r="D106" s="4" t="s">
        <v>295</v>
      </c>
      <c r="E106" s="4" t="s">
        <v>296</v>
      </c>
      <c r="F106" s="4" t="s">
        <v>17</v>
      </c>
      <c r="G106" s="4" t="s">
        <v>18</v>
      </c>
      <c r="H106" s="3">
        <v>7.4075169999999996E-2</v>
      </c>
      <c r="I106" s="4" t="s">
        <v>282</v>
      </c>
      <c r="J106" s="4" t="s">
        <v>283</v>
      </c>
      <c r="K106" s="3" t="s">
        <v>284</v>
      </c>
      <c r="L106" s="4" t="s">
        <v>285</v>
      </c>
      <c r="M106" s="4" t="s">
        <v>8</v>
      </c>
      <c r="N106" s="1"/>
    </row>
    <row r="107" spans="1:14" ht="15.75" thickBot="1">
      <c r="A107" s="3">
        <v>104</v>
      </c>
      <c r="B107" s="4" t="s">
        <v>245</v>
      </c>
      <c r="C107" s="4" t="s">
        <v>14</v>
      </c>
      <c r="D107" s="4" t="s">
        <v>297</v>
      </c>
      <c r="E107" s="4" t="s">
        <v>298</v>
      </c>
      <c r="F107" s="4" t="s">
        <v>17</v>
      </c>
      <c r="G107" s="4" t="s">
        <v>18</v>
      </c>
      <c r="H107" s="3">
        <v>1.1623458999999999E-2</v>
      </c>
      <c r="I107" s="4" t="s">
        <v>299</v>
      </c>
      <c r="J107" s="4" t="s">
        <v>300</v>
      </c>
      <c r="K107" s="3" t="s">
        <v>301</v>
      </c>
      <c r="L107" s="4" t="s">
        <v>302</v>
      </c>
      <c r="M107" s="4" t="s">
        <v>8</v>
      </c>
      <c r="N107" s="1"/>
    </row>
    <row r="108" spans="1:14" ht="15.75" thickBot="1">
      <c r="A108" s="3">
        <v>105</v>
      </c>
      <c r="B108" s="4" t="s">
        <v>245</v>
      </c>
      <c r="C108" s="4" t="s">
        <v>14</v>
      </c>
      <c r="D108" s="4" t="s">
        <v>297</v>
      </c>
      <c r="E108" s="4" t="s">
        <v>298</v>
      </c>
      <c r="F108" s="4" t="s">
        <v>17</v>
      </c>
      <c r="G108" s="4" t="s">
        <v>18</v>
      </c>
      <c r="H108" s="3">
        <v>1.519011E-2</v>
      </c>
      <c r="I108" s="4" t="s">
        <v>303</v>
      </c>
      <c r="J108" s="4" t="s">
        <v>304</v>
      </c>
      <c r="K108" s="3" t="s">
        <v>305</v>
      </c>
      <c r="L108" s="4" t="s">
        <v>306</v>
      </c>
      <c r="M108" s="4" t="s">
        <v>8</v>
      </c>
      <c r="N108" s="1"/>
    </row>
    <row r="109" spans="1:14" ht="15.75" thickBot="1">
      <c r="A109" s="3">
        <v>106</v>
      </c>
      <c r="B109" s="4" t="s">
        <v>245</v>
      </c>
      <c r="C109" s="4" t="s">
        <v>14</v>
      </c>
      <c r="D109" s="4" t="s">
        <v>297</v>
      </c>
      <c r="E109" s="4" t="s">
        <v>298</v>
      </c>
      <c r="F109" s="4" t="s">
        <v>17</v>
      </c>
      <c r="G109" s="4" t="s">
        <v>18</v>
      </c>
      <c r="H109" s="3">
        <v>2.9584091999999999E-2</v>
      </c>
      <c r="I109" s="4" t="s">
        <v>307</v>
      </c>
      <c r="J109" s="4" t="s">
        <v>308</v>
      </c>
      <c r="K109" s="3" t="s">
        <v>309</v>
      </c>
      <c r="L109" s="4" t="s">
        <v>310</v>
      </c>
      <c r="M109" s="4" t="s">
        <v>8</v>
      </c>
      <c r="N109" s="1"/>
    </row>
    <row r="110" spans="1:14" ht="15.75" thickBot="1">
      <c r="A110" s="3">
        <v>107</v>
      </c>
      <c r="B110" s="4" t="s">
        <v>28</v>
      </c>
      <c r="C110" s="4" t="s">
        <v>14</v>
      </c>
      <c r="D110" s="4" t="s">
        <v>297</v>
      </c>
      <c r="E110" s="4" t="s">
        <v>298</v>
      </c>
      <c r="F110" s="4" t="s">
        <v>17</v>
      </c>
      <c r="G110" s="4" t="s">
        <v>18</v>
      </c>
      <c r="H110" s="3">
        <v>4.6875977999999999E-2</v>
      </c>
      <c r="I110" s="4" t="s">
        <v>311</v>
      </c>
      <c r="J110" s="4" t="s">
        <v>312</v>
      </c>
      <c r="K110" s="3" t="s">
        <v>313</v>
      </c>
      <c r="L110" s="4" t="s">
        <v>314</v>
      </c>
      <c r="M110" s="4" t="s">
        <v>8</v>
      </c>
      <c r="N110" s="1"/>
    </row>
    <row r="111" spans="1:14" ht="15.75" thickBot="1">
      <c r="A111" s="3">
        <v>108</v>
      </c>
      <c r="B111" s="4" t="s">
        <v>28</v>
      </c>
      <c r="C111" s="4" t="s">
        <v>14</v>
      </c>
      <c r="D111" s="4" t="s">
        <v>297</v>
      </c>
      <c r="E111" s="4" t="s">
        <v>298</v>
      </c>
      <c r="F111" s="4" t="s">
        <v>17</v>
      </c>
      <c r="G111" s="4" t="s">
        <v>18</v>
      </c>
      <c r="H111" s="3">
        <v>0.20148627299999999</v>
      </c>
      <c r="I111" s="4" t="s">
        <v>315</v>
      </c>
      <c r="J111" s="4" t="s">
        <v>316</v>
      </c>
      <c r="K111" s="3" t="s">
        <v>317</v>
      </c>
      <c r="L111" s="4" t="s">
        <v>318</v>
      </c>
      <c r="M111" s="4" t="s">
        <v>8</v>
      </c>
      <c r="N111" s="1"/>
    </row>
    <row r="112" spans="1:14" ht="15.75" thickBot="1">
      <c r="A112" s="3">
        <v>109</v>
      </c>
      <c r="B112" s="4" t="s">
        <v>319</v>
      </c>
      <c r="C112" s="4" t="s">
        <v>14</v>
      </c>
      <c r="D112" s="4" t="s">
        <v>297</v>
      </c>
      <c r="E112" s="4" t="s">
        <v>298</v>
      </c>
      <c r="F112" s="4" t="s">
        <v>17</v>
      </c>
      <c r="G112" s="4" t="s">
        <v>18</v>
      </c>
      <c r="H112" s="3">
        <v>2.9615936999999998E-2</v>
      </c>
      <c r="I112" s="4" t="s">
        <v>320</v>
      </c>
      <c r="J112" s="4" t="s">
        <v>321</v>
      </c>
      <c r="K112" s="3" t="s">
        <v>322</v>
      </c>
      <c r="L112" s="4" t="s">
        <v>323</v>
      </c>
      <c r="M112" s="4" t="s">
        <v>8</v>
      </c>
      <c r="N112" s="1"/>
    </row>
    <row r="113" spans="1:14" ht="15.75" thickBot="1">
      <c r="A113" s="3">
        <v>110</v>
      </c>
      <c r="B113" s="4" t="s">
        <v>67</v>
      </c>
      <c r="C113" s="4" t="s">
        <v>14</v>
      </c>
      <c r="D113" s="4" t="s">
        <v>297</v>
      </c>
      <c r="E113" s="4" t="s">
        <v>298</v>
      </c>
      <c r="F113" s="4" t="s">
        <v>17</v>
      </c>
      <c r="G113" s="4" t="s">
        <v>18</v>
      </c>
      <c r="H113" s="3">
        <v>0.11228703600000001</v>
      </c>
      <c r="I113" s="4" t="s">
        <v>324</v>
      </c>
      <c r="J113" s="4" t="s">
        <v>325</v>
      </c>
      <c r="K113" s="3" t="s">
        <v>326</v>
      </c>
      <c r="L113" s="4" t="s">
        <v>327</v>
      </c>
      <c r="M113" s="4" t="s">
        <v>8</v>
      </c>
      <c r="N113" s="1"/>
    </row>
    <row r="114" spans="1:14" ht="15.75" thickBot="1">
      <c r="A114" s="3">
        <v>111</v>
      </c>
      <c r="B114" s="4" t="s">
        <v>28</v>
      </c>
      <c r="C114" s="4" t="s">
        <v>14</v>
      </c>
      <c r="D114" s="4" t="s">
        <v>297</v>
      </c>
      <c r="E114" s="4" t="s">
        <v>298</v>
      </c>
      <c r="F114" s="4" t="s">
        <v>17</v>
      </c>
      <c r="G114" s="4" t="s">
        <v>18</v>
      </c>
      <c r="H114" s="3">
        <v>5.1397982000000002E-2</v>
      </c>
      <c r="I114" s="4" t="s">
        <v>328</v>
      </c>
      <c r="J114" s="4" t="s">
        <v>329</v>
      </c>
      <c r="K114" s="3" t="s">
        <v>330</v>
      </c>
      <c r="L114" s="4" t="s">
        <v>331</v>
      </c>
      <c r="M114" s="4" t="s">
        <v>8</v>
      </c>
      <c r="N114" s="1"/>
    </row>
    <row r="115" spans="1:14" ht="15.75" thickBot="1">
      <c r="A115" s="3">
        <v>112</v>
      </c>
      <c r="B115" s="4" t="s">
        <v>28</v>
      </c>
      <c r="C115" s="4" t="s">
        <v>14</v>
      </c>
      <c r="D115" s="4" t="s">
        <v>297</v>
      </c>
      <c r="E115" s="4" t="s">
        <v>298</v>
      </c>
      <c r="F115" s="4" t="s">
        <v>17</v>
      </c>
      <c r="G115" s="4" t="s">
        <v>18</v>
      </c>
      <c r="H115" s="3">
        <v>6.8880938000000003E-2</v>
      </c>
      <c r="I115" s="4" t="s">
        <v>332</v>
      </c>
      <c r="J115" s="4" t="s">
        <v>333</v>
      </c>
      <c r="K115" s="3" t="s">
        <v>334</v>
      </c>
      <c r="L115" s="4" t="s">
        <v>335</v>
      </c>
      <c r="M115" s="4" t="s">
        <v>8</v>
      </c>
      <c r="N115" s="1"/>
    </row>
    <row r="116" spans="1:14" ht="15.75" thickBot="1">
      <c r="A116" s="3">
        <v>113</v>
      </c>
      <c r="B116" s="4" t="s">
        <v>28</v>
      </c>
      <c r="C116" s="4" t="s">
        <v>14</v>
      </c>
      <c r="D116" s="4" t="s">
        <v>297</v>
      </c>
      <c r="E116" s="4" t="s">
        <v>298</v>
      </c>
      <c r="F116" s="4" t="s">
        <v>17</v>
      </c>
      <c r="G116" s="4" t="s">
        <v>18</v>
      </c>
      <c r="H116" s="3">
        <v>6.5498988999999994E-2</v>
      </c>
      <c r="I116" s="4" t="s">
        <v>336</v>
      </c>
      <c r="J116" s="4" t="s">
        <v>337</v>
      </c>
      <c r="K116" s="3" t="s">
        <v>338</v>
      </c>
      <c r="L116" s="4" t="s">
        <v>339</v>
      </c>
      <c r="M116" s="4" t="s">
        <v>8</v>
      </c>
      <c r="N116" s="1"/>
    </row>
    <row r="117" spans="1:14" ht="15.75" thickBot="1">
      <c r="A117" s="3">
        <v>114</v>
      </c>
      <c r="B117" s="4" t="s">
        <v>340</v>
      </c>
      <c r="C117" s="4" t="s">
        <v>14</v>
      </c>
      <c r="D117" s="4" t="s">
        <v>297</v>
      </c>
      <c r="E117" s="4" t="s">
        <v>298</v>
      </c>
      <c r="F117" s="4" t="s">
        <v>17</v>
      </c>
      <c r="G117" s="4" t="s">
        <v>18</v>
      </c>
      <c r="H117" s="3">
        <v>3.9742680000000004E-3</v>
      </c>
      <c r="I117" s="4" t="s">
        <v>341</v>
      </c>
      <c r="J117" s="4" t="s">
        <v>342</v>
      </c>
      <c r="K117" s="3" t="s">
        <v>343</v>
      </c>
      <c r="L117" s="4" t="s">
        <v>344</v>
      </c>
      <c r="M117" s="4" t="s">
        <v>8</v>
      </c>
      <c r="N117" s="1"/>
    </row>
    <row r="118" spans="1:14" ht="15.75" thickBot="1">
      <c r="A118" s="3">
        <v>115</v>
      </c>
      <c r="B118" s="4" t="s">
        <v>13</v>
      </c>
      <c r="C118" s="4" t="s">
        <v>14</v>
      </c>
      <c r="D118" s="4" t="s">
        <v>297</v>
      </c>
      <c r="E118" s="4" t="s">
        <v>298</v>
      </c>
      <c r="F118" s="4" t="s">
        <v>17</v>
      </c>
      <c r="G118" s="4" t="s">
        <v>18</v>
      </c>
      <c r="H118" s="3">
        <v>0.27502995899999999</v>
      </c>
      <c r="I118" s="4" t="s">
        <v>345</v>
      </c>
      <c r="J118" s="4" t="s">
        <v>346</v>
      </c>
      <c r="K118" s="3" t="s">
        <v>347</v>
      </c>
      <c r="L118" s="4" t="s">
        <v>348</v>
      </c>
      <c r="M118" s="4" t="s">
        <v>8</v>
      </c>
      <c r="N118" s="1"/>
    </row>
    <row r="119" spans="1:14" ht="15.75" thickBot="1">
      <c r="A119" s="3">
        <v>116</v>
      </c>
      <c r="B119" s="4" t="s">
        <v>28</v>
      </c>
      <c r="C119" s="4" t="s">
        <v>14</v>
      </c>
      <c r="D119" s="4" t="s">
        <v>297</v>
      </c>
      <c r="E119" s="4" t="s">
        <v>298</v>
      </c>
      <c r="F119" s="4" t="s">
        <v>17</v>
      </c>
      <c r="G119" s="4" t="s">
        <v>18</v>
      </c>
      <c r="H119" s="3">
        <v>1.8119783190000001</v>
      </c>
      <c r="I119" s="4" t="s">
        <v>349</v>
      </c>
      <c r="J119" s="4" t="s">
        <v>350</v>
      </c>
      <c r="K119" s="3" t="s">
        <v>351</v>
      </c>
      <c r="L119" s="4" t="s">
        <v>352</v>
      </c>
      <c r="M119" s="4" t="s">
        <v>8</v>
      </c>
      <c r="N119" s="1"/>
    </row>
    <row r="120" spans="1:14" ht="15.75" thickBot="1">
      <c r="A120" s="3">
        <v>117</v>
      </c>
      <c r="B120" s="4" t="s">
        <v>28</v>
      </c>
      <c r="C120" s="4" t="s">
        <v>14</v>
      </c>
      <c r="D120" s="4" t="s">
        <v>297</v>
      </c>
      <c r="E120" s="4" t="s">
        <v>298</v>
      </c>
      <c r="F120" s="4" t="s">
        <v>17</v>
      </c>
      <c r="G120" s="4" t="s">
        <v>18</v>
      </c>
      <c r="H120" s="3">
        <v>0.50670514</v>
      </c>
      <c r="I120" s="4" t="s">
        <v>353</v>
      </c>
      <c r="J120" s="4" t="s">
        <v>354</v>
      </c>
      <c r="K120" s="3" t="s">
        <v>355</v>
      </c>
      <c r="L120" s="4" t="s">
        <v>356</v>
      </c>
      <c r="M120" s="4" t="s">
        <v>8</v>
      </c>
      <c r="N120" s="1"/>
    </row>
    <row r="121" spans="1:14" ht="15.75" thickBot="1">
      <c r="A121" s="3">
        <v>118</v>
      </c>
      <c r="B121" s="4" t="s">
        <v>13</v>
      </c>
      <c r="C121" s="4" t="s">
        <v>14</v>
      </c>
      <c r="D121" s="4" t="s">
        <v>297</v>
      </c>
      <c r="E121" s="4" t="s">
        <v>298</v>
      </c>
      <c r="F121" s="4" t="s">
        <v>17</v>
      </c>
      <c r="G121" s="4" t="s">
        <v>18</v>
      </c>
      <c r="H121" s="3">
        <v>1.130596959</v>
      </c>
      <c r="I121" s="4" t="s">
        <v>357</v>
      </c>
      <c r="J121" s="4" t="s">
        <v>358</v>
      </c>
      <c r="K121" s="3" t="s">
        <v>359</v>
      </c>
      <c r="L121" s="4" t="s">
        <v>360</v>
      </c>
      <c r="M121" s="4" t="s">
        <v>8</v>
      </c>
      <c r="N121" s="1"/>
    </row>
    <row r="122" spans="1:14" ht="15.75" thickBot="1">
      <c r="A122" s="3">
        <v>119</v>
      </c>
      <c r="B122" s="4" t="s">
        <v>28</v>
      </c>
      <c r="C122" s="4" t="s">
        <v>14</v>
      </c>
      <c r="D122" s="4" t="s">
        <v>297</v>
      </c>
      <c r="E122" s="4" t="s">
        <v>298</v>
      </c>
      <c r="F122" s="4" t="s">
        <v>17</v>
      </c>
      <c r="G122" s="4" t="s">
        <v>18</v>
      </c>
      <c r="H122" s="3">
        <v>0.56060733299999999</v>
      </c>
      <c r="I122" s="4" t="s">
        <v>361</v>
      </c>
      <c r="J122" s="4" t="s">
        <v>362</v>
      </c>
      <c r="K122" s="3" t="s">
        <v>363</v>
      </c>
      <c r="L122" s="4" t="s">
        <v>364</v>
      </c>
      <c r="M122" s="4" t="s">
        <v>8</v>
      </c>
      <c r="N122" s="1"/>
    </row>
    <row r="123" spans="1:14" ht="15.75" thickBot="1">
      <c r="A123" s="3">
        <v>120</v>
      </c>
      <c r="B123" s="4" t="s">
        <v>13</v>
      </c>
      <c r="C123" s="4" t="s">
        <v>14</v>
      </c>
      <c r="D123" s="4" t="s">
        <v>297</v>
      </c>
      <c r="E123" s="4" t="s">
        <v>298</v>
      </c>
      <c r="F123" s="4" t="s">
        <v>17</v>
      </c>
      <c r="G123" s="4" t="s">
        <v>18</v>
      </c>
      <c r="H123" s="3">
        <v>0.23872723000000001</v>
      </c>
      <c r="I123" s="4" t="s">
        <v>365</v>
      </c>
      <c r="J123" s="4" t="s">
        <v>366</v>
      </c>
      <c r="K123" s="3" t="s">
        <v>367</v>
      </c>
      <c r="L123" s="4" t="s">
        <v>368</v>
      </c>
      <c r="M123" s="4" t="s">
        <v>8</v>
      </c>
      <c r="N123" s="1"/>
    </row>
    <row r="124" spans="1:14" ht="15.75" thickBot="1">
      <c r="A124" s="3">
        <v>121</v>
      </c>
      <c r="B124" s="4" t="s">
        <v>13</v>
      </c>
      <c r="C124" s="4" t="s">
        <v>14</v>
      </c>
      <c r="D124" s="4" t="s">
        <v>297</v>
      </c>
      <c r="E124" s="4" t="s">
        <v>298</v>
      </c>
      <c r="F124" s="4" t="s">
        <v>17</v>
      </c>
      <c r="G124" s="4" t="s">
        <v>18</v>
      </c>
      <c r="H124" s="3">
        <v>0.48713110100000001</v>
      </c>
      <c r="I124" s="4" t="s">
        <v>369</v>
      </c>
      <c r="J124" s="4" t="s">
        <v>370</v>
      </c>
      <c r="K124" s="3" t="s">
        <v>371</v>
      </c>
      <c r="L124" s="4" t="s">
        <v>372</v>
      </c>
      <c r="M124" s="4" t="s">
        <v>8</v>
      </c>
      <c r="N124" s="1"/>
    </row>
    <row r="125" spans="1:14" ht="15.75" thickBot="1">
      <c r="A125" s="3">
        <v>122</v>
      </c>
      <c r="B125" s="4" t="s">
        <v>13</v>
      </c>
      <c r="C125" s="4" t="s">
        <v>14</v>
      </c>
      <c r="D125" s="4" t="s">
        <v>297</v>
      </c>
      <c r="E125" s="4" t="s">
        <v>298</v>
      </c>
      <c r="F125" s="4" t="s">
        <v>17</v>
      </c>
      <c r="G125" s="4" t="s">
        <v>18</v>
      </c>
      <c r="H125" s="3">
        <v>0.10510621000000001</v>
      </c>
      <c r="I125" s="4" t="s">
        <v>373</v>
      </c>
      <c r="J125" s="4" t="s">
        <v>374</v>
      </c>
      <c r="K125" s="3" t="s">
        <v>375</v>
      </c>
      <c r="L125" s="4" t="s">
        <v>376</v>
      </c>
      <c r="M125" s="4" t="s">
        <v>8</v>
      </c>
      <c r="N125" s="1"/>
    </row>
    <row r="126" spans="1:14" ht="15.75" thickBot="1">
      <c r="A126" s="3">
        <v>123</v>
      </c>
      <c r="B126" s="4" t="s">
        <v>67</v>
      </c>
      <c r="C126" s="4" t="s">
        <v>14</v>
      </c>
      <c r="D126" s="4" t="s">
        <v>297</v>
      </c>
      <c r="E126" s="4" t="s">
        <v>298</v>
      </c>
      <c r="F126" s="4" t="s">
        <v>17</v>
      </c>
      <c r="G126" s="4" t="s">
        <v>18</v>
      </c>
      <c r="H126" s="3">
        <v>6.1690109E-2</v>
      </c>
      <c r="I126" s="4" t="s">
        <v>377</v>
      </c>
      <c r="J126" s="4" t="s">
        <v>378</v>
      </c>
      <c r="K126" s="3" t="s">
        <v>379</v>
      </c>
      <c r="L126" s="4" t="s">
        <v>380</v>
      </c>
      <c r="M126" s="4" t="s">
        <v>8</v>
      </c>
      <c r="N126" s="1"/>
    </row>
    <row r="127" spans="1:14" ht="15.75" thickBot="1">
      <c r="A127" s="3">
        <v>124</v>
      </c>
      <c r="B127" s="4" t="s">
        <v>67</v>
      </c>
      <c r="C127" s="4" t="s">
        <v>14</v>
      </c>
      <c r="D127" s="4" t="s">
        <v>297</v>
      </c>
      <c r="E127" s="4" t="s">
        <v>298</v>
      </c>
      <c r="F127" s="4" t="s">
        <v>17</v>
      </c>
      <c r="G127" s="4" t="s">
        <v>18</v>
      </c>
      <c r="H127" s="3">
        <v>6.2425975000000002E-2</v>
      </c>
      <c r="I127" s="4" t="s">
        <v>381</v>
      </c>
      <c r="J127" s="4" t="s">
        <v>382</v>
      </c>
      <c r="K127" s="3" t="s">
        <v>383</v>
      </c>
      <c r="L127" s="4" t="s">
        <v>384</v>
      </c>
      <c r="M127" s="4" t="s">
        <v>8</v>
      </c>
      <c r="N127" s="1"/>
    </row>
    <row r="128" spans="1:14" ht="15.75" thickBot="1">
      <c r="A128" s="3">
        <v>125</v>
      </c>
      <c r="B128" s="4" t="s">
        <v>44</v>
      </c>
      <c r="C128" s="4" t="s">
        <v>14</v>
      </c>
      <c r="D128" s="4" t="s">
        <v>297</v>
      </c>
      <c r="E128" s="4" t="s">
        <v>298</v>
      </c>
      <c r="F128" s="4" t="s">
        <v>17</v>
      </c>
      <c r="G128" s="4" t="s">
        <v>18</v>
      </c>
      <c r="H128" s="3">
        <v>8.0822627999999994E-2</v>
      </c>
      <c r="I128" s="4" t="s">
        <v>385</v>
      </c>
      <c r="J128" s="4" t="s">
        <v>386</v>
      </c>
      <c r="K128" s="3" t="s">
        <v>387</v>
      </c>
      <c r="L128" s="4" t="s">
        <v>388</v>
      </c>
      <c r="M128" s="4" t="s">
        <v>8</v>
      </c>
      <c r="N128" s="1"/>
    </row>
    <row r="129" spans="1:14" ht="15.75" thickBot="1">
      <c r="A129" s="3">
        <v>126</v>
      </c>
      <c r="B129" s="4" t="s">
        <v>28</v>
      </c>
      <c r="C129" s="4" t="s">
        <v>14</v>
      </c>
      <c r="D129" s="4" t="s">
        <v>297</v>
      </c>
      <c r="E129" s="4" t="s">
        <v>298</v>
      </c>
      <c r="F129" s="4" t="s">
        <v>17</v>
      </c>
      <c r="G129" s="4" t="s">
        <v>18</v>
      </c>
      <c r="H129" s="3">
        <v>3.8669765000000002E-2</v>
      </c>
      <c r="I129" s="4" t="s">
        <v>389</v>
      </c>
      <c r="J129" s="4" t="s">
        <v>390</v>
      </c>
      <c r="K129" s="3" t="s">
        <v>391</v>
      </c>
      <c r="L129" s="4" t="s">
        <v>392</v>
      </c>
      <c r="M129" s="4" t="s">
        <v>8</v>
      </c>
      <c r="N129" s="1"/>
    </row>
    <row r="130" spans="1:14" ht="15.75" thickBot="1">
      <c r="A130" s="3">
        <v>127</v>
      </c>
      <c r="B130" s="4" t="s">
        <v>173</v>
      </c>
      <c r="C130" s="4" t="s">
        <v>14</v>
      </c>
      <c r="D130" s="4" t="s">
        <v>297</v>
      </c>
      <c r="E130" s="4" t="s">
        <v>298</v>
      </c>
      <c r="F130" s="4" t="s">
        <v>17</v>
      </c>
      <c r="G130" s="4" t="s">
        <v>18</v>
      </c>
      <c r="H130" s="3">
        <v>6.5124150000000006E-2</v>
      </c>
      <c r="I130" s="4" t="s">
        <v>393</v>
      </c>
      <c r="J130" s="4" t="s">
        <v>394</v>
      </c>
      <c r="K130" s="3" t="s">
        <v>395</v>
      </c>
      <c r="L130" s="4" t="s">
        <v>396</v>
      </c>
      <c r="M130" s="4" t="s">
        <v>8</v>
      </c>
      <c r="N130" s="1"/>
    </row>
    <row r="131" spans="1:14" ht="15.75" thickBot="1">
      <c r="A131" s="3">
        <v>128</v>
      </c>
      <c r="B131" s="4" t="s">
        <v>28</v>
      </c>
      <c r="C131" s="4" t="s">
        <v>14</v>
      </c>
      <c r="D131" s="4" t="s">
        <v>297</v>
      </c>
      <c r="E131" s="4" t="s">
        <v>298</v>
      </c>
      <c r="F131" s="4" t="s">
        <v>17</v>
      </c>
      <c r="G131" s="4" t="s">
        <v>18</v>
      </c>
      <c r="H131" s="3">
        <v>9.4006894999999993E-2</v>
      </c>
      <c r="I131" s="4" t="s">
        <v>397</v>
      </c>
      <c r="J131" s="4" t="s">
        <v>398</v>
      </c>
      <c r="K131" s="3" t="s">
        <v>399</v>
      </c>
      <c r="L131" s="4" t="s">
        <v>400</v>
      </c>
      <c r="M131" s="4" t="s">
        <v>8</v>
      </c>
      <c r="N131" s="1"/>
    </row>
    <row r="132" spans="1:14" ht="15.75" thickBot="1">
      <c r="A132" s="3">
        <v>129</v>
      </c>
      <c r="B132" s="4" t="s">
        <v>13</v>
      </c>
      <c r="C132" s="4" t="s">
        <v>14</v>
      </c>
      <c r="D132" s="4" t="s">
        <v>297</v>
      </c>
      <c r="E132" s="4" t="s">
        <v>298</v>
      </c>
      <c r="F132" s="4" t="s">
        <v>17</v>
      </c>
      <c r="G132" s="4" t="s">
        <v>18</v>
      </c>
      <c r="H132" s="3">
        <v>0.34266832000000003</v>
      </c>
      <c r="I132" s="4" t="s">
        <v>401</v>
      </c>
      <c r="J132" s="4" t="s">
        <v>402</v>
      </c>
      <c r="K132" s="3" t="s">
        <v>403</v>
      </c>
      <c r="L132" s="4" t="s">
        <v>404</v>
      </c>
      <c r="M132" s="4" t="s">
        <v>8</v>
      </c>
      <c r="N132" s="1"/>
    </row>
    <row r="133" spans="1:14" ht="15.75" thickBot="1">
      <c r="A133" s="3">
        <v>130</v>
      </c>
      <c r="B133" s="4" t="s">
        <v>67</v>
      </c>
      <c r="C133" s="4" t="s">
        <v>14</v>
      </c>
      <c r="D133" s="4" t="s">
        <v>297</v>
      </c>
      <c r="E133" s="4" t="s">
        <v>298</v>
      </c>
      <c r="F133" s="4" t="s">
        <v>17</v>
      </c>
      <c r="G133" s="4" t="s">
        <v>18</v>
      </c>
      <c r="H133" s="3">
        <v>0.152140319</v>
      </c>
      <c r="I133" s="4" t="s">
        <v>405</v>
      </c>
      <c r="J133" s="4" t="s">
        <v>406</v>
      </c>
      <c r="K133" s="3" t="s">
        <v>407</v>
      </c>
      <c r="L133" s="4" t="s">
        <v>408</v>
      </c>
      <c r="M133" s="4" t="s">
        <v>8</v>
      </c>
      <c r="N133" s="1"/>
    </row>
    <row r="134" spans="1:14" ht="15.75" thickBot="1">
      <c r="A134" s="3">
        <v>131</v>
      </c>
      <c r="B134" s="4" t="s">
        <v>28</v>
      </c>
      <c r="C134" s="4" t="s">
        <v>14</v>
      </c>
      <c r="D134" s="4" t="s">
        <v>297</v>
      </c>
      <c r="E134" s="4" t="s">
        <v>298</v>
      </c>
      <c r="F134" s="4" t="s">
        <v>17</v>
      </c>
      <c r="G134" s="4" t="s">
        <v>18</v>
      </c>
      <c r="H134" s="3">
        <v>0.28257258800000001</v>
      </c>
      <c r="I134" s="4" t="s">
        <v>409</v>
      </c>
      <c r="J134" s="4" t="s">
        <v>410</v>
      </c>
      <c r="K134" s="3" t="s">
        <v>411</v>
      </c>
      <c r="L134" s="4" t="s">
        <v>412</v>
      </c>
      <c r="M134" s="4" t="s">
        <v>8</v>
      </c>
      <c r="N134" s="1"/>
    </row>
    <row r="135" spans="1:14" ht="15.75" thickBot="1">
      <c r="A135" s="3">
        <v>132</v>
      </c>
      <c r="B135" s="4" t="s">
        <v>67</v>
      </c>
      <c r="C135" s="4" t="s">
        <v>14</v>
      </c>
      <c r="D135" s="4" t="s">
        <v>297</v>
      </c>
      <c r="E135" s="4" t="s">
        <v>298</v>
      </c>
      <c r="F135" s="4" t="s">
        <v>17</v>
      </c>
      <c r="G135" s="4" t="s">
        <v>18</v>
      </c>
      <c r="H135" s="3">
        <v>0.20151693400000001</v>
      </c>
      <c r="I135" s="4" t="s">
        <v>413</v>
      </c>
      <c r="J135" s="4" t="s">
        <v>414</v>
      </c>
      <c r="K135" s="3" t="s">
        <v>415</v>
      </c>
      <c r="L135" s="4" t="s">
        <v>416</v>
      </c>
      <c r="M135" s="4" t="s">
        <v>8</v>
      </c>
      <c r="N135" s="1"/>
    </row>
    <row r="136" spans="1:14" ht="15.75" thickBot="1">
      <c r="A136" s="3">
        <v>133</v>
      </c>
      <c r="B136" s="4" t="s">
        <v>28</v>
      </c>
      <c r="C136" s="4" t="s">
        <v>14</v>
      </c>
      <c r="D136" s="4" t="s">
        <v>297</v>
      </c>
      <c r="E136" s="4" t="s">
        <v>298</v>
      </c>
      <c r="F136" s="4" t="s">
        <v>17</v>
      </c>
      <c r="G136" s="4" t="s">
        <v>18</v>
      </c>
      <c r="H136" s="3">
        <v>0.129769989</v>
      </c>
      <c r="I136" s="4" t="s">
        <v>417</v>
      </c>
      <c r="J136" s="4" t="s">
        <v>418</v>
      </c>
      <c r="K136" s="3" t="s">
        <v>419</v>
      </c>
      <c r="L136" s="4" t="s">
        <v>420</v>
      </c>
      <c r="M136" s="4" t="s">
        <v>8</v>
      </c>
      <c r="N136" s="1"/>
    </row>
    <row r="137" spans="1:14" ht="15.75" thickBot="1">
      <c r="A137" s="3">
        <v>134</v>
      </c>
      <c r="B137" s="4" t="s">
        <v>28</v>
      </c>
      <c r="C137" s="4" t="s">
        <v>14</v>
      </c>
      <c r="D137" s="4" t="s">
        <v>297</v>
      </c>
      <c r="E137" s="4" t="s">
        <v>298</v>
      </c>
      <c r="F137" s="4" t="s">
        <v>17</v>
      </c>
      <c r="G137" s="4" t="s">
        <v>18</v>
      </c>
      <c r="H137" s="3">
        <v>4.4556693000000001E-2</v>
      </c>
      <c r="I137" s="4" t="s">
        <v>421</v>
      </c>
      <c r="J137" s="4" t="s">
        <v>422</v>
      </c>
      <c r="K137" s="3" t="s">
        <v>423</v>
      </c>
      <c r="L137" s="4" t="s">
        <v>424</v>
      </c>
      <c r="M137" s="4" t="s">
        <v>8</v>
      </c>
      <c r="N137" s="1"/>
    </row>
    <row r="138" spans="1:14" ht="15.75" thickBot="1">
      <c r="A138" s="3">
        <v>135</v>
      </c>
      <c r="B138" s="4" t="s">
        <v>340</v>
      </c>
      <c r="C138" s="4" t="s">
        <v>14</v>
      </c>
      <c r="D138" s="4" t="s">
        <v>297</v>
      </c>
      <c r="E138" s="4" t="s">
        <v>298</v>
      </c>
      <c r="F138" s="4" t="s">
        <v>17</v>
      </c>
      <c r="G138" s="4" t="s">
        <v>18</v>
      </c>
      <c r="H138" s="3">
        <v>5.7348498999999997E-2</v>
      </c>
      <c r="I138" s="4" t="s">
        <v>425</v>
      </c>
      <c r="J138" s="4" t="s">
        <v>426</v>
      </c>
      <c r="K138" s="3" t="s">
        <v>427</v>
      </c>
      <c r="L138" s="4" t="s">
        <v>428</v>
      </c>
      <c r="M138" s="4" t="s">
        <v>8</v>
      </c>
      <c r="N138" s="1"/>
    </row>
    <row r="139" spans="1:14" ht="15.75" thickBot="1">
      <c r="A139" s="3">
        <v>136</v>
      </c>
      <c r="B139" s="4" t="s">
        <v>340</v>
      </c>
      <c r="C139" s="4" t="s">
        <v>14</v>
      </c>
      <c r="D139" s="4" t="s">
        <v>297</v>
      </c>
      <c r="E139" s="4" t="s">
        <v>298</v>
      </c>
      <c r="F139" s="4" t="s">
        <v>17</v>
      </c>
      <c r="G139" s="4" t="s">
        <v>18</v>
      </c>
      <c r="H139" s="3">
        <v>5.5656007E-2</v>
      </c>
      <c r="I139" s="4" t="s">
        <v>429</v>
      </c>
      <c r="J139" s="4" t="s">
        <v>430</v>
      </c>
      <c r="K139" s="3" t="s">
        <v>431</v>
      </c>
      <c r="L139" s="4" t="s">
        <v>432</v>
      </c>
      <c r="M139" s="4" t="s">
        <v>8</v>
      </c>
      <c r="N139" s="1"/>
    </row>
    <row r="140" spans="1:14" ht="15.75" thickBot="1">
      <c r="A140" s="3">
        <v>137</v>
      </c>
      <c r="B140" s="4" t="s">
        <v>340</v>
      </c>
      <c r="C140" s="4" t="s">
        <v>14</v>
      </c>
      <c r="D140" s="4" t="s">
        <v>297</v>
      </c>
      <c r="E140" s="4" t="s">
        <v>298</v>
      </c>
      <c r="F140" s="4" t="s">
        <v>17</v>
      </c>
      <c r="G140" s="4" t="s">
        <v>18</v>
      </c>
      <c r="H140" s="3">
        <v>0.104542046</v>
      </c>
      <c r="I140" s="4" t="s">
        <v>433</v>
      </c>
      <c r="J140" s="4" t="s">
        <v>434</v>
      </c>
      <c r="K140" s="3" t="s">
        <v>435</v>
      </c>
      <c r="L140" s="4" t="s">
        <v>436</v>
      </c>
      <c r="M140" s="4" t="s">
        <v>8</v>
      </c>
      <c r="N140" s="1"/>
    </row>
    <row r="141" spans="1:14" ht="15.75" thickBot="1">
      <c r="A141" s="3">
        <v>138</v>
      </c>
      <c r="B141" s="4" t="s">
        <v>340</v>
      </c>
      <c r="C141" s="4" t="s">
        <v>14</v>
      </c>
      <c r="D141" s="4" t="s">
        <v>297</v>
      </c>
      <c r="E141" s="4" t="s">
        <v>298</v>
      </c>
      <c r="F141" s="4" t="s">
        <v>17</v>
      </c>
      <c r="G141" s="4" t="s">
        <v>18</v>
      </c>
      <c r="H141" s="3">
        <v>0.13319176599999999</v>
      </c>
      <c r="I141" s="4" t="s">
        <v>437</v>
      </c>
      <c r="J141" s="4" t="s">
        <v>438</v>
      </c>
      <c r="K141" s="3" t="s">
        <v>439</v>
      </c>
      <c r="L141" s="4" t="s">
        <v>440</v>
      </c>
      <c r="M141" s="4" t="s">
        <v>8</v>
      </c>
      <c r="N141" s="1"/>
    </row>
    <row r="142" spans="1:14" ht="15.75" thickBot="1">
      <c r="A142" s="3">
        <v>139</v>
      </c>
      <c r="B142" s="4" t="s">
        <v>28</v>
      </c>
      <c r="C142" s="4" t="s">
        <v>14</v>
      </c>
      <c r="D142" s="4" t="s">
        <v>441</v>
      </c>
      <c r="E142" s="4" t="s">
        <v>442</v>
      </c>
      <c r="F142" s="4" t="s">
        <v>17</v>
      </c>
      <c r="G142" s="4" t="s">
        <v>18</v>
      </c>
      <c r="H142" s="3">
        <v>0.234359187</v>
      </c>
      <c r="I142" s="4" t="s">
        <v>443</v>
      </c>
      <c r="J142" s="4" t="s">
        <v>444</v>
      </c>
      <c r="K142" s="3" t="s">
        <v>445</v>
      </c>
      <c r="L142" s="4" t="s">
        <v>446</v>
      </c>
      <c r="M142" s="4" t="s">
        <v>8</v>
      </c>
      <c r="N142" s="1"/>
    </row>
    <row r="143" spans="1:14" ht="23.25" thickBot="1">
      <c r="A143" s="3">
        <v>140</v>
      </c>
      <c r="B143" s="4" t="s">
        <v>28</v>
      </c>
      <c r="C143" s="4" t="s">
        <v>14</v>
      </c>
      <c r="D143" s="4" t="s">
        <v>441</v>
      </c>
      <c r="E143" s="4" t="s">
        <v>442</v>
      </c>
      <c r="F143" s="4" t="s">
        <v>17</v>
      </c>
      <c r="G143" s="4" t="s">
        <v>18</v>
      </c>
      <c r="H143" s="3">
        <v>0.30331487099999999</v>
      </c>
      <c r="I143" s="4" t="s">
        <v>447</v>
      </c>
      <c r="J143" s="4" t="s">
        <v>448</v>
      </c>
      <c r="K143" s="3" t="s">
        <v>449</v>
      </c>
      <c r="L143" s="4" t="s">
        <v>450</v>
      </c>
      <c r="M143" s="4" t="s">
        <v>8</v>
      </c>
      <c r="N143" s="1"/>
    </row>
    <row r="144" spans="1:14" ht="15.75" thickBot="1">
      <c r="A144" s="3">
        <v>141</v>
      </c>
      <c r="B144" s="4" t="s">
        <v>28</v>
      </c>
      <c r="C144" s="4" t="s">
        <v>14</v>
      </c>
      <c r="D144" s="4" t="s">
        <v>441</v>
      </c>
      <c r="E144" s="4" t="s">
        <v>442</v>
      </c>
      <c r="F144" s="4" t="s">
        <v>17</v>
      </c>
      <c r="G144" s="4" t="s">
        <v>18</v>
      </c>
      <c r="H144" s="3">
        <v>4.7848331000000001E-2</v>
      </c>
      <c r="I144" s="4" t="s">
        <v>451</v>
      </c>
      <c r="J144" s="4" t="s">
        <v>452</v>
      </c>
      <c r="K144" s="3" t="s">
        <v>453</v>
      </c>
      <c r="L144" s="4" t="s">
        <v>454</v>
      </c>
      <c r="M144" s="4" t="s">
        <v>8</v>
      </c>
      <c r="N144" s="1"/>
    </row>
    <row r="145" spans="1:14" ht="15.75" thickBot="1">
      <c r="A145" s="3">
        <v>142</v>
      </c>
      <c r="B145" s="4" t="s">
        <v>44</v>
      </c>
      <c r="C145" s="4" t="s">
        <v>14</v>
      </c>
      <c r="D145" s="4" t="s">
        <v>441</v>
      </c>
      <c r="E145" s="4" t="s">
        <v>442</v>
      </c>
      <c r="F145" s="4" t="s">
        <v>17</v>
      </c>
      <c r="G145" s="4" t="s">
        <v>18</v>
      </c>
      <c r="H145" s="3">
        <v>7.5644042999999994E-2</v>
      </c>
      <c r="I145" s="4" t="s">
        <v>455</v>
      </c>
      <c r="J145" s="4" t="s">
        <v>456</v>
      </c>
      <c r="K145" s="3" t="s">
        <v>189</v>
      </c>
      <c r="L145" s="4" t="s">
        <v>457</v>
      </c>
      <c r="M145" s="4" t="s">
        <v>8</v>
      </c>
      <c r="N145" s="1"/>
    </row>
    <row r="146" spans="1:14" ht="15.75" thickBot="1">
      <c r="A146" s="3">
        <v>143</v>
      </c>
      <c r="B146" s="4" t="s">
        <v>28</v>
      </c>
      <c r="C146" s="4" t="s">
        <v>14</v>
      </c>
      <c r="D146" s="4" t="s">
        <v>441</v>
      </c>
      <c r="E146" s="4" t="s">
        <v>442</v>
      </c>
      <c r="F146" s="4" t="s">
        <v>17</v>
      </c>
      <c r="G146" s="4" t="s">
        <v>18</v>
      </c>
      <c r="H146" s="3">
        <v>4.7323615999999999E-2</v>
      </c>
      <c r="I146" s="4" t="s">
        <v>458</v>
      </c>
      <c r="J146" s="4" t="s">
        <v>459</v>
      </c>
      <c r="K146" s="3" t="s">
        <v>460</v>
      </c>
      <c r="L146" s="4" t="s">
        <v>461</v>
      </c>
      <c r="M146" s="4" t="s">
        <v>8</v>
      </c>
      <c r="N146" s="1"/>
    </row>
    <row r="147" spans="1:14" ht="15.75" thickBot="1">
      <c r="A147" s="3">
        <v>144</v>
      </c>
      <c r="B147" s="4" t="s">
        <v>319</v>
      </c>
      <c r="C147" s="4" t="s">
        <v>14</v>
      </c>
      <c r="D147" s="4" t="s">
        <v>441</v>
      </c>
      <c r="E147" s="4" t="s">
        <v>442</v>
      </c>
      <c r="F147" s="4" t="s">
        <v>17</v>
      </c>
      <c r="G147" s="4" t="s">
        <v>18</v>
      </c>
      <c r="H147" s="3">
        <v>9.2179659999999993E-3</v>
      </c>
      <c r="I147" s="4" t="s">
        <v>462</v>
      </c>
      <c r="J147" s="4" t="s">
        <v>463</v>
      </c>
      <c r="K147" s="3" t="s">
        <v>464</v>
      </c>
      <c r="L147" s="4" t="s">
        <v>465</v>
      </c>
      <c r="M147" s="4" t="s">
        <v>8</v>
      </c>
      <c r="N147" s="1"/>
    </row>
    <row r="148" spans="1:14" ht="15.75" thickBot="1">
      <c r="A148" s="3">
        <v>145</v>
      </c>
      <c r="B148" s="4" t="s">
        <v>28</v>
      </c>
      <c r="C148" s="4" t="s">
        <v>14</v>
      </c>
      <c r="D148" s="4" t="s">
        <v>441</v>
      </c>
      <c r="E148" s="4" t="s">
        <v>442</v>
      </c>
      <c r="F148" s="4" t="s">
        <v>17</v>
      </c>
      <c r="G148" s="4" t="s">
        <v>18</v>
      </c>
      <c r="H148" s="3">
        <v>5.1336969999999996E-3</v>
      </c>
      <c r="I148" s="4" t="s">
        <v>466</v>
      </c>
      <c r="J148" s="4" t="s">
        <v>467</v>
      </c>
      <c r="K148" s="3" t="s">
        <v>468</v>
      </c>
      <c r="L148" s="4" t="s">
        <v>469</v>
      </c>
      <c r="M148" s="4" t="s">
        <v>8</v>
      </c>
      <c r="N148" s="1"/>
    </row>
    <row r="149" spans="1:14" ht="15.75" thickBot="1">
      <c r="A149" s="3">
        <v>146</v>
      </c>
      <c r="B149" s="4" t="s">
        <v>28</v>
      </c>
      <c r="C149" s="4" t="s">
        <v>14</v>
      </c>
      <c r="D149" s="4" t="s">
        <v>441</v>
      </c>
      <c r="E149" s="4" t="s">
        <v>442</v>
      </c>
      <c r="F149" s="4" t="s">
        <v>17</v>
      </c>
      <c r="G149" s="4" t="s">
        <v>18</v>
      </c>
      <c r="H149" s="3">
        <v>9.8419509999999998E-3</v>
      </c>
      <c r="I149" s="4" t="s">
        <v>470</v>
      </c>
      <c r="J149" s="4" t="s">
        <v>471</v>
      </c>
      <c r="K149" s="3" t="s">
        <v>472</v>
      </c>
      <c r="L149" s="4" t="s">
        <v>473</v>
      </c>
      <c r="M149" s="4" t="s">
        <v>8</v>
      </c>
      <c r="N149" s="1"/>
    </row>
    <row r="150" spans="1:14" ht="15.75" thickBot="1">
      <c r="A150" s="3">
        <v>147</v>
      </c>
      <c r="B150" s="4" t="s">
        <v>28</v>
      </c>
      <c r="C150" s="4" t="s">
        <v>14</v>
      </c>
      <c r="D150" s="4" t="s">
        <v>441</v>
      </c>
      <c r="E150" s="4" t="s">
        <v>442</v>
      </c>
      <c r="F150" s="4" t="s">
        <v>17</v>
      </c>
      <c r="G150" s="4" t="s">
        <v>18</v>
      </c>
      <c r="H150" s="3">
        <v>5.1053339999999996E-3</v>
      </c>
      <c r="I150" s="4" t="s">
        <v>474</v>
      </c>
      <c r="J150" s="4" t="s">
        <v>475</v>
      </c>
      <c r="K150" s="3" t="s">
        <v>476</v>
      </c>
      <c r="L150" s="4" t="s">
        <v>477</v>
      </c>
      <c r="M150" s="4" t="s">
        <v>8</v>
      </c>
      <c r="N150" s="1"/>
    </row>
    <row r="151" spans="1:14" ht="15.75" thickBot="1">
      <c r="A151" s="3">
        <v>148</v>
      </c>
      <c r="B151" s="4" t="s">
        <v>44</v>
      </c>
      <c r="C151" s="4" t="s">
        <v>14</v>
      </c>
      <c r="D151" s="4" t="s">
        <v>441</v>
      </c>
      <c r="E151" s="4" t="s">
        <v>442</v>
      </c>
      <c r="F151" s="4" t="s">
        <v>17</v>
      </c>
      <c r="G151" s="4" t="s">
        <v>18</v>
      </c>
      <c r="H151" s="3">
        <v>7.2492208000000002E-2</v>
      </c>
      <c r="I151" s="4" t="s">
        <v>478</v>
      </c>
      <c r="J151" s="4" t="s">
        <v>479</v>
      </c>
      <c r="K151" s="3" t="s">
        <v>480</v>
      </c>
      <c r="L151" s="4" t="s">
        <v>481</v>
      </c>
      <c r="M151" s="4" t="s">
        <v>8</v>
      </c>
      <c r="N151" s="1"/>
    </row>
    <row r="152" spans="1:14" ht="15.75" thickBot="1">
      <c r="A152" s="3">
        <v>149</v>
      </c>
      <c r="B152" s="4" t="s">
        <v>114</v>
      </c>
      <c r="C152" s="4" t="s">
        <v>14</v>
      </c>
      <c r="D152" s="4" t="s">
        <v>441</v>
      </c>
      <c r="E152" s="4" t="s">
        <v>442</v>
      </c>
      <c r="F152" s="4" t="s">
        <v>17</v>
      </c>
      <c r="G152" s="4" t="s">
        <v>18</v>
      </c>
      <c r="H152" s="3">
        <v>0.189240036</v>
      </c>
      <c r="I152" s="4" t="s">
        <v>482</v>
      </c>
      <c r="J152" s="4" t="s">
        <v>483</v>
      </c>
      <c r="K152" s="3" t="s">
        <v>484</v>
      </c>
      <c r="L152" s="4" t="s">
        <v>485</v>
      </c>
      <c r="M152" s="4" t="s">
        <v>8</v>
      </c>
      <c r="N152" s="1"/>
    </row>
    <row r="153" spans="1:14" ht="15.75" thickBot="1">
      <c r="A153" s="3">
        <v>150</v>
      </c>
      <c r="B153" s="4" t="s">
        <v>44</v>
      </c>
      <c r="C153" s="4" t="s">
        <v>14</v>
      </c>
      <c r="D153" s="4" t="s">
        <v>441</v>
      </c>
      <c r="E153" s="4" t="s">
        <v>442</v>
      </c>
      <c r="F153" s="4" t="s">
        <v>17</v>
      </c>
      <c r="G153" s="4" t="s">
        <v>18</v>
      </c>
      <c r="H153" s="3">
        <v>0.13729766099999999</v>
      </c>
      <c r="I153" s="4" t="s">
        <v>486</v>
      </c>
      <c r="J153" s="4" t="s">
        <v>487</v>
      </c>
      <c r="K153" s="3" t="s">
        <v>488</v>
      </c>
      <c r="L153" s="4" t="s">
        <v>489</v>
      </c>
      <c r="M153" s="4" t="s">
        <v>8</v>
      </c>
      <c r="N153" s="1"/>
    </row>
    <row r="154" spans="1:14" ht="15.75" thickBot="1">
      <c r="A154" s="3">
        <v>151</v>
      </c>
      <c r="B154" s="4" t="s">
        <v>114</v>
      </c>
      <c r="C154" s="4" t="s">
        <v>14</v>
      </c>
      <c r="D154" s="4" t="s">
        <v>441</v>
      </c>
      <c r="E154" s="4" t="s">
        <v>442</v>
      </c>
      <c r="F154" s="4" t="s">
        <v>17</v>
      </c>
      <c r="G154" s="4" t="s">
        <v>18</v>
      </c>
      <c r="H154" s="3">
        <v>0.19187549800000001</v>
      </c>
      <c r="I154" s="4" t="s">
        <v>490</v>
      </c>
      <c r="J154" s="4" t="s">
        <v>491</v>
      </c>
      <c r="K154" s="3" t="s">
        <v>492</v>
      </c>
      <c r="L154" s="4" t="s">
        <v>493</v>
      </c>
      <c r="M154" s="4" t="s">
        <v>8</v>
      </c>
      <c r="N154" s="1"/>
    </row>
    <row r="155" spans="1:14" ht="15.75" thickBot="1">
      <c r="A155" s="3">
        <v>152</v>
      </c>
      <c r="B155" s="4" t="s">
        <v>114</v>
      </c>
      <c r="C155" s="4" t="s">
        <v>14</v>
      </c>
      <c r="D155" s="4" t="s">
        <v>441</v>
      </c>
      <c r="E155" s="4" t="s">
        <v>442</v>
      </c>
      <c r="F155" s="4" t="s">
        <v>17</v>
      </c>
      <c r="G155" s="4" t="s">
        <v>18</v>
      </c>
      <c r="H155" s="3">
        <v>0.132964256</v>
      </c>
      <c r="I155" s="4" t="s">
        <v>494</v>
      </c>
      <c r="J155" s="4" t="s">
        <v>495</v>
      </c>
      <c r="K155" s="3" t="s">
        <v>496</v>
      </c>
      <c r="L155" s="4" t="s">
        <v>497</v>
      </c>
      <c r="M155" s="4" t="s">
        <v>8</v>
      </c>
      <c r="N155" s="1"/>
    </row>
    <row r="156" spans="1:14" ht="15.75" thickBot="1">
      <c r="A156" s="3">
        <v>153</v>
      </c>
      <c r="B156" s="4" t="s">
        <v>28</v>
      </c>
      <c r="C156" s="4" t="s">
        <v>14</v>
      </c>
      <c r="D156" s="4" t="s">
        <v>441</v>
      </c>
      <c r="E156" s="4" t="s">
        <v>442</v>
      </c>
      <c r="F156" s="4" t="s">
        <v>17</v>
      </c>
      <c r="G156" s="4" t="s">
        <v>18</v>
      </c>
      <c r="H156" s="3">
        <v>0.44592632100000001</v>
      </c>
      <c r="I156" s="4" t="s">
        <v>498</v>
      </c>
      <c r="J156" s="4" t="s">
        <v>499</v>
      </c>
      <c r="K156" s="3" t="s">
        <v>500</v>
      </c>
      <c r="L156" s="4" t="s">
        <v>501</v>
      </c>
      <c r="M156" s="4" t="s">
        <v>8</v>
      </c>
      <c r="N156" s="1"/>
    </row>
    <row r="157" spans="1:14" ht="15.75" thickBot="1">
      <c r="A157" s="3">
        <v>154</v>
      </c>
      <c r="B157" s="4" t="s">
        <v>67</v>
      </c>
      <c r="C157" s="4" t="s">
        <v>14</v>
      </c>
      <c r="D157" s="4" t="s">
        <v>441</v>
      </c>
      <c r="E157" s="4" t="s">
        <v>442</v>
      </c>
      <c r="F157" s="4" t="s">
        <v>17</v>
      </c>
      <c r="G157" s="4" t="s">
        <v>18</v>
      </c>
      <c r="H157" s="3">
        <v>0.30341502399999998</v>
      </c>
      <c r="I157" s="4" t="s">
        <v>502</v>
      </c>
      <c r="J157" s="4" t="s">
        <v>503</v>
      </c>
      <c r="K157" s="3" t="s">
        <v>504</v>
      </c>
      <c r="L157" s="4" t="s">
        <v>505</v>
      </c>
      <c r="M157" s="4" t="s">
        <v>8</v>
      </c>
      <c r="N157" s="1"/>
    </row>
    <row r="158" spans="1:14" ht="15.75" thickBot="1">
      <c r="A158" s="3">
        <v>155</v>
      </c>
      <c r="B158" s="4" t="s">
        <v>245</v>
      </c>
      <c r="C158" s="4" t="s">
        <v>14</v>
      </c>
      <c r="D158" s="4" t="s">
        <v>506</v>
      </c>
      <c r="E158" s="4" t="s">
        <v>507</v>
      </c>
      <c r="F158" s="4" t="s">
        <v>17</v>
      </c>
      <c r="G158" s="4" t="s">
        <v>117</v>
      </c>
      <c r="H158" s="3">
        <v>0.19681965100000001</v>
      </c>
      <c r="I158" s="4" t="s">
        <v>299</v>
      </c>
      <c r="J158" s="4" t="s">
        <v>300</v>
      </c>
      <c r="K158" s="3" t="s">
        <v>301</v>
      </c>
      <c r="L158" s="4" t="s">
        <v>302</v>
      </c>
      <c r="M158" s="4" t="s">
        <v>8</v>
      </c>
      <c r="N158" s="1"/>
    </row>
    <row r="159" spans="1:14" ht="15.75" thickBot="1">
      <c r="A159" s="3">
        <v>156</v>
      </c>
      <c r="B159" s="4" t="s">
        <v>245</v>
      </c>
      <c r="C159" s="4" t="s">
        <v>14</v>
      </c>
      <c r="D159" s="4" t="s">
        <v>506</v>
      </c>
      <c r="E159" s="4" t="s">
        <v>507</v>
      </c>
      <c r="F159" s="4" t="s">
        <v>17</v>
      </c>
      <c r="G159" s="4" t="s">
        <v>117</v>
      </c>
      <c r="H159" s="3">
        <v>0.257213627</v>
      </c>
      <c r="I159" s="4" t="s">
        <v>303</v>
      </c>
      <c r="J159" s="4" t="s">
        <v>304</v>
      </c>
      <c r="K159" s="3" t="s">
        <v>305</v>
      </c>
      <c r="L159" s="4" t="s">
        <v>306</v>
      </c>
      <c r="M159" s="4" t="s">
        <v>8</v>
      </c>
      <c r="N159" s="1"/>
    </row>
    <row r="160" spans="1:14" ht="15.75" thickBot="1">
      <c r="A160" s="3">
        <v>157</v>
      </c>
      <c r="B160" s="4" t="s">
        <v>245</v>
      </c>
      <c r="C160" s="4" t="s">
        <v>14</v>
      </c>
      <c r="D160" s="4" t="s">
        <v>506</v>
      </c>
      <c r="E160" s="4" t="s">
        <v>507</v>
      </c>
      <c r="F160" s="4" t="s">
        <v>17</v>
      </c>
      <c r="G160" s="4" t="s">
        <v>117</v>
      </c>
      <c r="H160" s="3">
        <v>0.50094645500000001</v>
      </c>
      <c r="I160" s="4" t="s">
        <v>307</v>
      </c>
      <c r="J160" s="4" t="s">
        <v>308</v>
      </c>
      <c r="K160" s="3" t="s">
        <v>309</v>
      </c>
      <c r="L160" s="4" t="s">
        <v>310</v>
      </c>
      <c r="M160" s="4" t="s">
        <v>8</v>
      </c>
      <c r="N160" s="1"/>
    </row>
    <row r="161" spans="1:14" ht="15.75" thickBot="1">
      <c r="A161" s="3">
        <v>158</v>
      </c>
      <c r="B161" s="4" t="s">
        <v>28</v>
      </c>
      <c r="C161" s="4" t="s">
        <v>14</v>
      </c>
      <c r="D161" s="4" t="s">
        <v>506</v>
      </c>
      <c r="E161" s="4" t="s">
        <v>507</v>
      </c>
      <c r="F161" s="4" t="s">
        <v>17</v>
      </c>
      <c r="G161" s="4" t="s">
        <v>117</v>
      </c>
      <c r="H161" s="3">
        <v>0.79374938900000003</v>
      </c>
      <c r="I161" s="4" t="s">
        <v>311</v>
      </c>
      <c r="J161" s="4" t="s">
        <v>312</v>
      </c>
      <c r="K161" s="3" t="s">
        <v>313</v>
      </c>
      <c r="L161" s="4" t="s">
        <v>314</v>
      </c>
      <c r="M161" s="4" t="s">
        <v>8</v>
      </c>
      <c r="N161" s="1"/>
    </row>
    <row r="162" spans="1:14" ht="15.75" thickBot="1">
      <c r="A162" s="3">
        <v>159</v>
      </c>
      <c r="B162" s="4" t="s">
        <v>67</v>
      </c>
      <c r="C162" s="4" t="s">
        <v>14</v>
      </c>
      <c r="D162" s="4" t="s">
        <v>506</v>
      </c>
      <c r="E162" s="4" t="s">
        <v>507</v>
      </c>
      <c r="F162" s="4" t="s">
        <v>17</v>
      </c>
      <c r="G162" s="4" t="s">
        <v>117</v>
      </c>
      <c r="H162" s="3">
        <v>3.3892546289999999</v>
      </c>
      <c r="I162" s="4" t="s">
        <v>508</v>
      </c>
      <c r="J162" s="4" t="s">
        <v>509</v>
      </c>
      <c r="K162" s="3" t="s">
        <v>510</v>
      </c>
      <c r="L162" s="4" t="s">
        <v>511</v>
      </c>
      <c r="M162" s="4" t="s">
        <v>8</v>
      </c>
      <c r="N162" s="1"/>
    </row>
    <row r="163" spans="1:14" ht="15.75" thickBot="1">
      <c r="A163" s="3">
        <v>160</v>
      </c>
      <c r="B163" s="4" t="s">
        <v>67</v>
      </c>
      <c r="C163" s="4" t="s">
        <v>14</v>
      </c>
      <c r="D163" s="4" t="s">
        <v>506</v>
      </c>
      <c r="E163" s="4" t="s">
        <v>507</v>
      </c>
      <c r="F163" s="4" t="s">
        <v>17</v>
      </c>
      <c r="G163" s="4" t="s">
        <v>117</v>
      </c>
      <c r="H163" s="3">
        <v>4.1495757050000002</v>
      </c>
      <c r="I163" s="4" t="s">
        <v>512</v>
      </c>
      <c r="J163" s="4" t="s">
        <v>513</v>
      </c>
      <c r="K163" s="3" t="s">
        <v>514</v>
      </c>
      <c r="L163" s="4" t="s">
        <v>515</v>
      </c>
      <c r="M163" s="4" t="s">
        <v>8</v>
      </c>
      <c r="N163" s="1"/>
    </row>
    <row r="164" spans="1:14" ht="15.75" thickBot="1">
      <c r="A164" s="3">
        <v>161</v>
      </c>
      <c r="B164" s="4" t="s">
        <v>67</v>
      </c>
      <c r="C164" s="4" t="s">
        <v>14</v>
      </c>
      <c r="D164" s="4" t="s">
        <v>506</v>
      </c>
      <c r="E164" s="4" t="s">
        <v>507</v>
      </c>
      <c r="F164" s="4" t="s">
        <v>17</v>
      </c>
      <c r="G164" s="4" t="s">
        <v>117</v>
      </c>
      <c r="H164" s="3">
        <v>3.7810668409999999</v>
      </c>
      <c r="I164" s="4" t="s">
        <v>516</v>
      </c>
      <c r="J164" s="4" t="s">
        <v>517</v>
      </c>
      <c r="K164" s="3" t="s">
        <v>518</v>
      </c>
      <c r="L164" s="4" t="s">
        <v>519</v>
      </c>
      <c r="M164" s="4" t="s">
        <v>8</v>
      </c>
      <c r="N164" s="1"/>
    </row>
    <row r="165" spans="1:14" ht="15.75" thickBot="1">
      <c r="A165" s="3">
        <v>162</v>
      </c>
      <c r="B165" s="4" t="s">
        <v>114</v>
      </c>
      <c r="C165" s="4" t="s">
        <v>14</v>
      </c>
      <c r="D165" s="4" t="s">
        <v>506</v>
      </c>
      <c r="E165" s="4" t="s">
        <v>507</v>
      </c>
      <c r="F165" s="4" t="s">
        <v>17</v>
      </c>
      <c r="G165" s="4" t="s">
        <v>117</v>
      </c>
      <c r="H165" s="3">
        <v>0.245570606</v>
      </c>
      <c r="I165" s="4" t="s">
        <v>118</v>
      </c>
      <c r="J165" s="4" t="s">
        <v>119</v>
      </c>
      <c r="K165" s="3" t="s">
        <v>120</v>
      </c>
      <c r="L165" s="4" t="s">
        <v>121</v>
      </c>
      <c r="M165" s="4" t="s">
        <v>8</v>
      </c>
      <c r="N165" s="1"/>
    </row>
    <row r="166" spans="1:14" ht="15.75" thickBot="1">
      <c r="A166" s="3">
        <v>163</v>
      </c>
      <c r="B166" s="4" t="s">
        <v>114</v>
      </c>
      <c r="C166" s="4" t="s">
        <v>14</v>
      </c>
      <c r="D166" s="4" t="s">
        <v>506</v>
      </c>
      <c r="E166" s="4" t="s">
        <v>507</v>
      </c>
      <c r="F166" s="4" t="s">
        <v>17</v>
      </c>
      <c r="G166" s="4" t="s">
        <v>117</v>
      </c>
      <c r="H166" s="3">
        <v>0.26908985400000002</v>
      </c>
      <c r="I166" s="4" t="s">
        <v>122</v>
      </c>
      <c r="J166" s="4" t="s">
        <v>123</v>
      </c>
      <c r="K166" s="3" t="s">
        <v>124</v>
      </c>
      <c r="L166" s="4" t="s">
        <v>125</v>
      </c>
      <c r="M166" s="4" t="s">
        <v>8</v>
      </c>
      <c r="N166" s="1"/>
    </row>
    <row r="167" spans="1:14" ht="15.75" thickBot="1">
      <c r="A167" s="3">
        <v>164</v>
      </c>
      <c r="B167" s="4" t="s">
        <v>28</v>
      </c>
      <c r="C167" s="4" t="s">
        <v>14</v>
      </c>
      <c r="D167" s="4" t="s">
        <v>506</v>
      </c>
      <c r="E167" s="4" t="s">
        <v>507</v>
      </c>
      <c r="F167" s="4" t="s">
        <v>17</v>
      </c>
      <c r="G167" s="4" t="s">
        <v>117</v>
      </c>
      <c r="H167" s="3">
        <v>3.8399293640000001</v>
      </c>
      <c r="I167" s="4" t="s">
        <v>443</v>
      </c>
      <c r="J167" s="4" t="s">
        <v>444</v>
      </c>
      <c r="K167" s="3" t="s">
        <v>445</v>
      </c>
      <c r="L167" s="4" t="s">
        <v>446</v>
      </c>
      <c r="M167" s="4" t="s">
        <v>8</v>
      </c>
      <c r="N167" s="1"/>
    </row>
    <row r="168" spans="1:14" ht="23.25" thickBot="1">
      <c r="A168" s="3">
        <v>165</v>
      </c>
      <c r="B168" s="4" t="s">
        <v>28</v>
      </c>
      <c r="C168" s="4" t="s">
        <v>14</v>
      </c>
      <c r="D168" s="4" t="s">
        <v>506</v>
      </c>
      <c r="E168" s="4" t="s">
        <v>507</v>
      </c>
      <c r="F168" s="4" t="s">
        <v>17</v>
      </c>
      <c r="G168" s="4" t="s">
        <v>117</v>
      </c>
      <c r="H168" s="3">
        <v>4.9697547330000003</v>
      </c>
      <c r="I168" s="4" t="s">
        <v>447</v>
      </c>
      <c r="J168" s="4" t="s">
        <v>448</v>
      </c>
      <c r="K168" s="3" t="s">
        <v>449</v>
      </c>
      <c r="L168" s="4" t="s">
        <v>450</v>
      </c>
      <c r="M168" s="4" t="s">
        <v>8</v>
      </c>
      <c r="N168" s="1"/>
    </row>
    <row r="169" spans="1:14" ht="15.75" thickBot="1">
      <c r="A169" s="3">
        <v>166</v>
      </c>
      <c r="B169" s="4" t="s">
        <v>28</v>
      </c>
      <c r="C169" s="4" t="s">
        <v>14</v>
      </c>
      <c r="D169" s="4" t="s">
        <v>506</v>
      </c>
      <c r="E169" s="4" t="s">
        <v>507</v>
      </c>
      <c r="F169" s="4" t="s">
        <v>17</v>
      </c>
      <c r="G169" s="4" t="s">
        <v>117</v>
      </c>
      <c r="H169" s="3">
        <v>3.4119216940000001</v>
      </c>
      <c r="I169" s="4" t="s">
        <v>315</v>
      </c>
      <c r="J169" s="4" t="s">
        <v>316</v>
      </c>
      <c r="K169" s="3" t="s">
        <v>317</v>
      </c>
      <c r="L169" s="4" t="s">
        <v>318</v>
      </c>
      <c r="M169" s="4" t="s">
        <v>8</v>
      </c>
      <c r="N169" s="1"/>
    </row>
    <row r="170" spans="1:14" ht="15.75" thickBot="1">
      <c r="A170" s="3">
        <v>167</v>
      </c>
      <c r="B170" s="4" t="s">
        <v>319</v>
      </c>
      <c r="C170" s="4" t="s">
        <v>14</v>
      </c>
      <c r="D170" s="4" t="s">
        <v>506</v>
      </c>
      <c r="E170" s="4" t="s">
        <v>507</v>
      </c>
      <c r="F170" s="4" t="s">
        <v>17</v>
      </c>
      <c r="G170" s="4" t="s">
        <v>117</v>
      </c>
      <c r="H170" s="3">
        <v>0.50148568699999996</v>
      </c>
      <c r="I170" s="4" t="s">
        <v>320</v>
      </c>
      <c r="J170" s="4" t="s">
        <v>321</v>
      </c>
      <c r="K170" s="3" t="s">
        <v>322</v>
      </c>
      <c r="L170" s="4" t="s">
        <v>323</v>
      </c>
      <c r="M170" s="4" t="s">
        <v>8</v>
      </c>
      <c r="N170" s="1"/>
    </row>
    <row r="171" spans="1:14" ht="15.75" thickBot="1">
      <c r="A171" s="3">
        <v>168</v>
      </c>
      <c r="B171" s="4" t="s">
        <v>67</v>
      </c>
      <c r="C171" s="4" t="s">
        <v>14</v>
      </c>
      <c r="D171" s="4" t="s">
        <v>506</v>
      </c>
      <c r="E171" s="4" t="s">
        <v>507</v>
      </c>
      <c r="F171" s="4" t="s">
        <v>17</v>
      </c>
      <c r="G171" s="4" t="s">
        <v>117</v>
      </c>
      <c r="H171" s="3">
        <v>1.9014425580000001</v>
      </c>
      <c r="I171" s="4" t="s">
        <v>324</v>
      </c>
      <c r="J171" s="4" t="s">
        <v>325</v>
      </c>
      <c r="K171" s="3" t="s">
        <v>326</v>
      </c>
      <c r="L171" s="4" t="s">
        <v>327</v>
      </c>
      <c r="M171" s="4" t="s">
        <v>8</v>
      </c>
      <c r="N171" s="1"/>
    </row>
    <row r="172" spans="1:14" ht="15.75" thickBot="1">
      <c r="A172" s="3">
        <v>169</v>
      </c>
      <c r="B172" s="4" t="s">
        <v>28</v>
      </c>
      <c r="C172" s="4" t="s">
        <v>14</v>
      </c>
      <c r="D172" s="4" t="s">
        <v>506</v>
      </c>
      <c r="E172" s="4" t="s">
        <v>507</v>
      </c>
      <c r="F172" s="4" t="s">
        <v>17</v>
      </c>
      <c r="G172" s="4" t="s">
        <v>117</v>
      </c>
      <c r="H172" s="3">
        <v>0.87032032199999998</v>
      </c>
      <c r="I172" s="4" t="s">
        <v>328</v>
      </c>
      <c r="J172" s="4" t="s">
        <v>329</v>
      </c>
      <c r="K172" s="3" t="s">
        <v>330</v>
      </c>
      <c r="L172" s="4" t="s">
        <v>331</v>
      </c>
      <c r="M172" s="4" t="s">
        <v>8</v>
      </c>
      <c r="N172" s="1"/>
    </row>
    <row r="173" spans="1:14" ht="15.75" thickBot="1">
      <c r="A173" s="3">
        <v>170</v>
      </c>
      <c r="B173" s="4" t="s">
        <v>28</v>
      </c>
      <c r="C173" s="4" t="s">
        <v>14</v>
      </c>
      <c r="D173" s="4" t="s">
        <v>506</v>
      </c>
      <c r="E173" s="4" t="s">
        <v>507</v>
      </c>
      <c r="F173" s="4" t="s">
        <v>17</v>
      </c>
      <c r="G173" s="4" t="s">
        <v>117</v>
      </c>
      <c r="H173" s="3">
        <v>1.166358647</v>
      </c>
      <c r="I173" s="4" t="s">
        <v>332</v>
      </c>
      <c r="J173" s="4" t="s">
        <v>333</v>
      </c>
      <c r="K173" s="3" t="s">
        <v>334</v>
      </c>
      <c r="L173" s="4" t="s">
        <v>335</v>
      </c>
      <c r="M173" s="4" t="s">
        <v>8</v>
      </c>
      <c r="N173" s="1"/>
    </row>
    <row r="174" spans="1:14" ht="15.75" thickBot="1">
      <c r="A174" s="3">
        <v>171</v>
      </c>
      <c r="B174" s="4" t="s">
        <v>28</v>
      </c>
      <c r="C174" s="4" t="s">
        <v>14</v>
      </c>
      <c r="D174" s="4" t="s">
        <v>506</v>
      </c>
      <c r="E174" s="4" t="s">
        <v>507</v>
      </c>
      <c r="F174" s="4" t="s">
        <v>17</v>
      </c>
      <c r="G174" s="4" t="s">
        <v>117</v>
      </c>
      <c r="H174" s="3">
        <v>1.1090922169999999</v>
      </c>
      <c r="I174" s="4" t="s">
        <v>336</v>
      </c>
      <c r="J174" s="4" t="s">
        <v>337</v>
      </c>
      <c r="K174" s="3" t="s">
        <v>338</v>
      </c>
      <c r="L174" s="4" t="s">
        <v>339</v>
      </c>
      <c r="M174" s="4" t="s">
        <v>8</v>
      </c>
      <c r="N174" s="1"/>
    </row>
    <row r="175" spans="1:14" ht="15.75" thickBot="1">
      <c r="A175" s="3">
        <v>172</v>
      </c>
      <c r="B175" s="4" t="s">
        <v>28</v>
      </c>
      <c r="C175" s="4" t="s">
        <v>14</v>
      </c>
      <c r="D175" s="4" t="s">
        <v>506</v>
      </c>
      <c r="E175" s="4" t="s">
        <v>507</v>
      </c>
      <c r="F175" s="4" t="s">
        <v>17</v>
      </c>
      <c r="G175" s="4" t="s">
        <v>117</v>
      </c>
      <c r="H175" s="3">
        <v>0.75582720400000003</v>
      </c>
      <c r="I175" s="4" t="s">
        <v>451</v>
      </c>
      <c r="J175" s="4" t="s">
        <v>452</v>
      </c>
      <c r="K175" s="3" t="s">
        <v>453</v>
      </c>
      <c r="L175" s="4" t="s">
        <v>454</v>
      </c>
      <c r="M175" s="4" t="s">
        <v>8</v>
      </c>
      <c r="N175" s="1"/>
    </row>
    <row r="176" spans="1:14" ht="15.75" thickBot="1">
      <c r="A176" s="3">
        <v>173</v>
      </c>
      <c r="B176" s="4" t="s">
        <v>44</v>
      </c>
      <c r="C176" s="4" t="s">
        <v>14</v>
      </c>
      <c r="D176" s="4" t="s">
        <v>506</v>
      </c>
      <c r="E176" s="4" t="s">
        <v>507</v>
      </c>
      <c r="F176" s="4" t="s">
        <v>17</v>
      </c>
      <c r="G176" s="4" t="s">
        <v>117</v>
      </c>
      <c r="H176" s="3">
        <v>1.1948969490000001</v>
      </c>
      <c r="I176" s="4" t="s">
        <v>455</v>
      </c>
      <c r="J176" s="4" t="s">
        <v>456</v>
      </c>
      <c r="K176" s="3" t="s">
        <v>189</v>
      </c>
      <c r="L176" s="4" t="s">
        <v>457</v>
      </c>
      <c r="M176" s="4" t="s">
        <v>8</v>
      </c>
      <c r="N176" s="1"/>
    </row>
    <row r="177" spans="1:14" ht="15.75" thickBot="1">
      <c r="A177" s="3">
        <v>174</v>
      </c>
      <c r="B177" s="4" t="s">
        <v>28</v>
      </c>
      <c r="C177" s="4" t="s">
        <v>14</v>
      </c>
      <c r="D177" s="4" t="s">
        <v>506</v>
      </c>
      <c r="E177" s="4" t="s">
        <v>507</v>
      </c>
      <c r="F177" s="4" t="s">
        <v>17</v>
      </c>
      <c r="G177" s="4" t="s">
        <v>117</v>
      </c>
      <c r="H177" s="3">
        <v>0.74753864199999998</v>
      </c>
      <c r="I177" s="4" t="s">
        <v>458</v>
      </c>
      <c r="J177" s="4" t="s">
        <v>459</v>
      </c>
      <c r="K177" s="3" t="s">
        <v>460</v>
      </c>
      <c r="L177" s="4" t="s">
        <v>461</v>
      </c>
      <c r="M177" s="4" t="s">
        <v>8</v>
      </c>
      <c r="N177" s="1"/>
    </row>
    <row r="178" spans="1:14" ht="15.75" thickBot="1">
      <c r="A178" s="3">
        <v>175</v>
      </c>
      <c r="B178" s="4" t="s">
        <v>245</v>
      </c>
      <c r="C178" s="4" t="s">
        <v>14</v>
      </c>
      <c r="D178" s="4" t="s">
        <v>506</v>
      </c>
      <c r="E178" s="4" t="s">
        <v>507</v>
      </c>
      <c r="F178" s="4" t="s">
        <v>17</v>
      </c>
      <c r="G178" s="4" t="s">
        <v>117</v>
      </c>
      <c r="H178" s="3">
        <v>0.85326802599999996</v>
      </c>
      <c r="I178" s="4" t="s">
        <v>246</v>
      </c>
      <c r="J178" s="4" t="s">
        <v>247</v>
      </c>
      <c r="K178" s="3" t="s">
        <v>248</v>
      </c>
      <c r="L178" s="4" t="s">
        <v>249</v>
      </c>
      <c r="M178" s="4" t="s">
        <v>8</v>
      </c>
      <c r="N178" s="1"/>
    </row>
    <row r="179" spans="1:14" ht="15.75" thickBot="1">
      <c r="A179" s="3">
        <v>176</v>
      </c>
      <c r="B179" s="4" t="s">
        <v>319</v>
      </c>
      <c r="C179" s="4" t="s">
        <v>14</v>
      </c>
      <c r="D179" s="4" t="s">
        <v>506</v>
      </c>
      <c r="E179" s="4" t="s">
        <v>507</v>
      </c>
      <c r="F179" s="4" t="s">
        <v>17</v>
      </c>
      <c r="G179" s="4" t="s">
        <v>117</v>
      </c>
      <c r="H179" s="3">
        <v>0.145609865</v>
      </c>
      <c r="I179" s="4" t="s">
        <v>462</v>
      </c>
      <c r="J179" s="4" t="s">
        <v>463</v>
      </c>
      <c r="K179" s="3" t="s">
        <v>464</v>
      </c>
      <c r="L179" s="4" t="s">
        <v>465</v>
      </c>
      <c r="M179" s="4" t="s">
        <v>8</v>
      </c>
      <c r="N179" s="1"/>
    </row>
    <row r="180" spans="1:14" ht="15.75" thickBot="1">
      <c r="A180" s="3">
        <v>177</v>
      </c>
      <c r="B180" s="4" t="s">
        <v>28</v>
      </c>
      <c r="C180" s="4" t="s">
        <v>14</v>
      </c>
      <c r="D180" s="4" t="s">
        <v>506</v>
      </c>
      <c r="E180" s="4" t="s">
        <v>507</v>
      </c>
      <c r="F180" s="4" t="s">
        <v>17</v>
      </c>
      <c r="G180" s="4" t="s">
        <v>117</v>
      </c>
      <c r="H180" s="3">
        <v>2.9531668280000001</v>
      </c>
      <c r="I180" s="4" t="s">
        <v>250</v>
      </c>
      <c r="J180" s="4" t="s">
        <v>251</v>
      </c>
      <c r="K180" s="3" t="s">
        <v>252</v>
      </c>
      <c r="L180" s="4" t="s">
        <v>253</v>
      </c>
      <c r="M180" s="4" t="s">
        <v>8</v>
      </c>
      <c r="N180" s="1"/>
    </row>
    <row r="181" spans="1:14" ht="15.75" thickBot="1">
      <c r="A181" s="3">
        <v>178</v>
      </c>
      <c r="B181" s="4" t="s">
        <v>28</v>
      </c>
      <c r="C181" s="4" t="s">
        <v>14</v>
      </c>
      <c r="D181" s="4" t="s">
        <v>506</v>
      </c>
      <c r="E181" s="4" t="s">
        <v>507</v>
      </c>
      <c r="F181" s="4" t="s">
        <v>17</v>
      </c>
      <c r="G181" s="4" t="s">
        <v>117</v>
      </c>
      <c r="H181" s="3">
        <v>4.378785079</v>
      </c>
      <c r="I181" s="4" t="s">
        <v>254</v>
      </c>
      <c r="J181" s="4" t="s">
        <v>255</v>
      </c>
      <c r="K181" s="3" t="s">
        <v>256</v>
      </c>
      <c r="L181" s="4" t="s">
        <v>257</v>
      </c>
      <c r="M181" s="4" t="s">
        <v>8</v>
      </c>
      <c r="N181" s="1"/>
    </row>
    <row r="182" spans="1:14" ht="15.75" thickBot="1">
      <c r="A182" s="3">
        <v>179</v>
      </c>
      <c r="B182" s="4" t="s">
        <v>28</v>
      </c>
      <c r="C182" s="4" t="s">
        <v>14</v>
      </c>
      <c r="D182" s="4" t="s">
        <v>506</v>
      </c>
      <c r="E182" s="4" t="s">
        <v>507</v>
      </c>
      <c r="F182" s="4" t="s">
        <v>17</v>
      </c>
      <c r="G182" s="4" t="s">
        <v>117</v>
      </c>
      <c r="H182" s="3">
        <v>8.1093494000000002E-2</v>
      </c>
      <c r="I182" s="4" t="s">
        <v>466</v>
      </c>
      <c r="J182" s="4" t="s">
        <v>467</v>
      </c>
      <c r="K182" s="3" t="s">
        <v>468</v>
      </c>
      <c r="L182" s="4" t="s">
        <v>469</v>
      </c>
      <c r="M182" s="4" t="s">
        <v>8</v>
      </c>
      <c r="N182" s="1"/>
    </row>
    <row r="183" spans="1:14" ht="15.75" thickBot="1">
      <c r="A183" s="3">
        <v>180</v>
      </c>
      <c r="B183" s="4" t="s">
        <v>28</v>
      </c>
      <c r="C183" s="4" t="s">
        <v>14</v>
      </c>
      <c r="D183" s="4" t="s">
        <v>506</v>
      </c>
      <c r="E183" s="4" t="s">
        <v>507</v>
      </c>
      <c r="F183" s="4" t="s">
        <v>17</v>
      </c>
      <c r="G183" s="4" t="s">
        <v>117</v>
      </c>
      <c r="H183" s="3">
        <v>0.15546653199999999</v>
      </c>
      <c r="I183" s="4" t="s">
        <v>470</v>
      </c>
      <c r="J183" s="4" t="s">
        <v>471</v>
      </c>
      <c r="K183" s="3" t="s">
        <v>472</v>
      </c>
      <c r="L183" s="4" t="s">
        <v>473</v>
      </c>
      <c r="M183" s="4" t="s">
        <v>8</v>
      </c>
      <c r="N183" s="1"/>
    </row>
    <row r="184" spans="1:14" ht="15.75" thickBot="1">
      <c r="A184" s="3">
        <v>181</v>
      </c>
      <c r="B184" s="4" t="s">
        <v>28</v>
      </c>
      <c r="C184" s="4" t="s">
        <v>14</v>
      </c>
      <c r="D184" s="4" t="s">
        <v>506</v>
      </c>
      <c r="E184" s="4" t="s">
        <v>507</v>
      </c>
      <c r="F184" s="4" t="s">
        <v>17</v>
      </c>
      <c r="G184" s="4" t="s">
        <v>117</v>
      </c>
      <c r="H184" s="3">
        <v>8.0645463000000001E-2</v>
      </c>
      <c r="I184" s="4" t="s">
        <v>474</v>
      </c>
      <c r="J184" s="4" t="s">
        <v>475</v>
      </c>
      <c r="K184" s="3" t="s">
        <v>476</v>
      </c>
      <c r="L184" s="4" t="s">
        <v>477</v>
      </c>
      <c r="M184" s="4" t="s">
        <v>8</v>
      </c>
      <c r="N184" s="1"/>
    </row>
    <row r="185" spans="1:14" ht="15.75" thickBot="1">
      <c r="A185" s="3">
        <v>182</v>
      </c>
      <c r="B185" s="4" t="s">
        <v>44</v>
      </c>
      <c r="C185" s="4" t="s">
        <v>14</v>
      </c>
      <c r="D185" s="4" t="s">
        <v>506</v>
      </c>
      <c r="E185" s="4" t="s">
        <v>507</v>
      </c>
      <c r="F185" s="4" t="s">
        <v>17</v>
      </c>
      <c r="G185" s="4" t="s">
        <v>117</v>
      </c>
      <c r="H185" s="3">
        <v>1.1451095760000001</v>
      </c>
      <c r="I185" s="4" t="s">
        <v>478</v>
      </c>
      <c r="J185" s="4" t="s">
        <v>479</v>
      </c>
      <c r="K185" s="3" t="s">
        <v>480</v>
      </c>
      <c r="L185" s="4" t="s">
        <v>481</v>
      </c>
      <c r="M185" s="4" t="s">
        <v>8</v>
      </c>
      <c r="N185" s="1"/>
    </row>
    <row r="186" spans="1:14" ht="15.75" thickBot="1">
      <c r="A186" s="3">
        <v>183</v>
      </c>
      <c r="B186" s="4" t="s">
        <v>114</v>
      </c>
      <c r="C186" s="4" t="s">
        <v>14</v>
      </c>
      <c r="D186" s="4" t="s">
        <v>506</v>
      </c>
      <c r="E186" s="4" t="s">
        <v>507</v>
      </c>
      <c r="F186" s="4" t="s">
        <v>17</v>
      </c>
      <c r="G186" s="4" t="s">
        <v>117</v>
      </c>
      <c r="H186" s="3">
        <v>3.1006609119999999</v>
      </c>
      <c r="I186" s="4" t="s">
        <v>482</v>
      </c>
      <c r="J186" s="4" t="s">
        <v>483</v>
      </c>
      <c r="K186" s="3" t="s">
        <v>484</v>
      </c>
      <c r="L186" s="4" t="s">
        <v>485</v>
      </c>
      <c r="M186" s="4" t="s">
        <v>8</v>
      </c>
      <c r="N186" s="1"/>
    </row>
    <row r="187" spans="1:14" ht="15.75" thickBot="1">
      <c r="A187" s="3">
        <v>184</v>
      </c>
      <c r="B187" s="4" t="s">
        <v>340</v>
      </c>
      <c r="C187" s="4" t="s">
        <v>14</v>
      </c>
      <c r="D187" s="4" t="s">
        <v>506</v>
      </c>
      <c r="E187" s="4" t="s">
        <v>507</v>
      </c>
      <c r="F187" s="4" t="s">
        <v>17</v>
      </c>
      <c r="G187" s="4" t="s">
        <v>117</v>
      </c>
      <c r="H187" s="3">
        <v>6.7296144000000002E-2</v>
      </c>
      <c r="I187" s="4" t="s">
        <v>341</v>
      </c>
      <c r="J187" s="4" t="s">
        <v>342</v>
      </c>
      <c r="K187" s="3" t="s">
        <v>343</v>
      </c>
      <c r="L187" s="4" t="s">
        <v>344</v>
      </c>
      <c r="M187" s="4" t="s">
        <v>8</v>
      </c>
      <c r="N187" s="1"/>
    </row>
    <row r="188" spans="1:14" ht="15.75" thickBot="1">
      <c r="A188" s="3">
        <v>185</v>
      </c>
      <c r="B188" s="4" t="s">
        <v>28</v>
      </c>
      <c r="C188" s="4" t="s">
        <v>14</v>
      </c>
      <c r="D188" s="4" t="s">
        <v>506</v>
      </c>
      <c r="E188" s="4" t="s">
        <v>507</v>
      </c>
      <c r="F188" s="4" t="s">
        <v>17</v>
      </c>
      <c r="G188" s="4" t="s">
        <v>117</v>
      </c>
      <c r="H188" s="3">
        <v>3.4320587470000001</v>
      </c>
      <c r="I188" s="4" t="s">
        <v>258</v>
      </c>
      <c r="J188" s="4" t="s">
        <v>259</v>
      </c>
      <c r="K188" s="3" t="s">
        <v>260</v>
      </c>
      <c r="L188" s="4" t="s">
        <v>261</v>
      </c>
      <c r="M188" s="4" t="s">
        <v>8</v>
      </c>
      <c r="N188" s="1"/>
    </row>
    <row r="189" spans="1:14" ht="15.75" thickBot="1">
      <c r="A189" s="3">
        <v>186</v>
      </c>
      <c r="B189" s="4" t="s">
        <v>13</v>
      </c>
      <c r="C189" s="4" t="s">
        <v>14</v>
      </c>
      <c r="D189" s="4" t="s">
        <v>506</v>
      </c>
      <c r="E189" s="4" t="s">
        <v>507</v>
      </c>
      <c r="F189" s="4" t="s">
        <v>17</v>
      </c>
      <c r="G189" s="4" t="s">
        <v>117</v>
      </c>
      <c r="H189" s="3">
        <v>6.2048100399999999</v>
      </c>
      <c r="I189" s="4" t="s">
        <v>262</v>
      </c>
      <c r="J189" s="4" t="s">
        <v>263</v>
      </c>
      <c r="K189" s="3" t="s">
        <v>264</v>
      </c>
      <c r="L189" s="4" t="s">
        <v>265</v>
      </c>
      <c r="M189" s="4" t="s">
        <v>8</v>
      </c>
      <c r="N189" s="1"/>
    </row>
    <row r="190" spans="1:14" ht="15.75" thickBot="1">
      <c r="A190" s="3">
        <v>187</v>
      </c>
      <c r="B190" s="4" t="s">
        <v>44</v>
      </c>
      <c r="C190" s="4" t="s">
        <v>14</v>
      </c>
      <c r="D190" s="4" t="s">
        <v>506</v>
      </c>
      <c r="E190" s="4" t="s">
        <v>507</v>
      </c>
      <c r="F190" s="4" t="s">
        <v>17</v>
      </c>
      <c r="G190" s="4" t="s">
        <v>117</v>
      </c>
      <c r="H190" s="3">
        <v>2.2525580239999998</v>
      </c>
      <c r="I190" s="4" t="s">
        <v>486</v>
      </c>
      <c r="J190" s="4" t="s">
        <v>487</v>
      </c>
      <c r="K190" s="3" t="s">
        <v>488</v>
      </c>
      <c r="L190" s="4" t="s">
        <v>489</v>
      </c>
      <c r="M190" s="4" t="s">
        <v>8</v>
      </c>
      <c r="N190" s="1"/>
    </row>
    <row r="191" spans="1:14" ht="15.75" thickBot="1">
      <c r="A191" s="3">
        <v>188</v>
      </c>
      <c r="B191" s="4" t="s">
        <v>114</v>
      </c>
      <c r="C191" s="4" t="s">
        <v>14</v>
      </c>
      <c r="D191" s="4" t="s">
        <v>506</v>
      </c>
      <c r="E191" s="4" t="s">
        <v>507</v>
      </c>
      <c r="F191" s="4" t="s">
        <v>17</v>
      </c>
      <c r="G191" s="4" t="s">
        <v>117</v>
      </c>
      <c r="H191" s="3">
        <v>3.0309253319999998</v>
      </c>
      <c r="I191" s="4" t="s">
        <v>490</v>
      </c>
      <c r="J191" s="4" t="s">
        <v>491</v>
      </c>
      <c r="K191" s="3" t="s">
        <v>492</v>
      </c>
      <c r="L191" s="4" t="s">
        <v>493</v>
      </c>
      <c r="M191" s="4" t="s">
        <v>8</v>
      </c>
      <c r="N191" s="1"/>
    </row>
    <row r="192" spans="1:14" ht="15.75" thickBot="1">
      <c r="A192" s="3">
        <v>189</v>
      </c>
      <c r="B192" s="4" t="s">
        <v>114</v>
      </c>
      <c r="C192" s="4" t="s">
        <v>14</v>
      </c>
      <c r="D192" s="4" t="s">
        <v>506</v>
      </c>
      <c r="E192" s="4" t="s">
        <v>507</v>
      </c>
      <c r="F192" s="4" t="s">
        <v>17</v>
      </c>
      <c r="G192" s="4" t="s">
        <v>117</v>
      </c>
      <c r="H192" s="3">
        <v>2.1814625059999999</v>
      </c>
      <c r="I192" s="4" t="s">
        <v>494</v>
      </c>
      <c r="J192" s="4" t="s">
        <v>495</v>
      </c>
      <c r="K192" s="3" t="s">
        <v>496</v>
      </c>
      <c r="L192" s="4" t="s">
        <v>497</v>
      </c>
      <c r="M192" s="4" t="s">
        <v>8</v>
      </c>
      <c r="N192" s="1"/>
    </row>
    <row r="193" spans="1:14" ht="15.75" thickBot="1">
      <c r="A193" s="3">
        <v>190</v>
      </c>
      <c r="B193" s="4" t="s">
        <v>13</v>
      </c>
      <c r="C193" s="4" t="s">
        <v>14</v>
      </c>
      <c r="D193" s="4" t="s">
        <v>506</v>
      </c>
      <c r="E193" s="4" t="s">
        <v>507</v>
      </c>
      <c r="F193" s="4" t="s">
        <v>17</v>
      </c>
      <c r="G193" s="4" t="s">
        <v>117</v>
      </c>
      <c r="H193" s="3">
        <v>4.6572933599999997</v>
      </c>
      <c r="I193" s="4" t="s">
        <v>345</v>
      </c>
      <c r="J193" s="4" t="s">
        <v>346</v>
      </c>
      <c r="K193" s="3" t="s">
        <v>347</v>
      </c>
      <c r="L193" s="4" t="s">
        <v>348</v>
      </c>
      <c r="M193" s="4" t="s">
        <v>8</v>
      </c>
      <c r="N193" s="1"/>
    </row>
    <row r="194" spans="1:14" ht="15.75" thickBot="1">
      <c r="A194" s="3">
        <v>191</v>
      </c>
      <c r="B194" s="4" t="s">
        <v>28</v>
      </c>
      <c r="C194" s="4" t="s">
        <v>14</v>
      </c>
      <c r="D194" s="4" t="s">
        <v>506</v>
      </c>
      <c r="E194" s="4" t="s">
        <v>507</v>
      </c>
      <c r="F194" s="4" t="s">
        <v>17</v>
      </c>
      <c r="G194" s="4" t="s">
        <v>117</v>
      </c>
      <c r="H194" s="3">
        <v>30.683619362000002</v>
      </c>
      <c r="I194" s="4" t="s">
        <v>349</v>
      </c>
      <c r="J194" s="4" t="s">
        <v>350</v>
      </c>
      <c r="K194" s="3" t="s">
        <v>351</v>
      </c>
      <c r="L194" s="4" t="s">
        <v>352</v>
      </c>
      <c r="M194" s="4" t="s">
        <v>8</v>
      </c>
      <c r="N194" s="1"/>
    </row>
    <row r="195" spans="1:14" ht="15.75" thickBot="1">
      <c r="A195" s="3">
        <v>192</v>
      </c>
      <c r="B195" s="4" t="s">
        <v>28</v>
      </c>
      <c r="C195" s="4" t="s">
        <v>14</v>
      </c>
      <c r="D195" s="4" t="s">
        <v>506</v>
      </c>
      <c r="E195" s="4" t="s">
        <v>507</v>
      </c>
      <c r="F195" s="4" t="s">
        <v>17</v>
      </c>
      <c r="G195" s="4" t="s">
        <v>117</v>
      </c>
      <c r="H195" s="3">
        <v>8.5804269850000008</v>
      </c>
      <c r="I195" s="4" t="s">
        <v>353</v>
      </c>
      <c r="J195" s="4" t="s">
        <v>354</v>
      </c>
      <c r="K195" s="3" t="s">
        <v>355</v>
      </c>
      <c r="L195" s="4" t="s">
        <v>356</v>
      </c>
      <c r="M195" s="4" t="s">
        <v>8</v>
      </c>
      <c r="N195" s="1"/>
    </row>
    <row r="196" spans="1:14" ht="15.75" thickBot="1">
      <c r="A196" s="3">
        <v>193</v>
      </c>
      <c r="B196" s="4" t="s">
        <v>13</v>
      </c>
      <c r="C196" s="4" t="s">
        <v>14</v>
      </c>
      <c r="D196" s="4" t="s">
        <v>506</v>
      </c>
      <c r="E196" s="4" t="s">
        <v>507</v>
      </c>
      <c r="F196" s="4" t="s">
        <v>17</v>
      </c>
      <c r="G196" s="4" t="s">
        <v>117</v>
      </c>
      <c r="H196" s="3">
        <v>19.145265925</v>
      </c>
      <c r="I196" s="4" t="s">
        <v>357</v>
      </c>
      <c r="J196" s="4" t="s">
        <v>358</v>
      </c>
      <c r="K196" s="3" t="s">
        <v>359</v>
      </c>
      <c r="L196" s="4" t="s">
        <v>360</v>
      </c>
      <c r="M196" s="4" t="s">
        <v>8</v>
      </c>
      <c r="N196" s="1"/>
    </row>
    <row r="197" spans="1:14" ht="15.75" thickBot="1">
      <c r="A197" s="3">
        <v>194</v>
      </c>
      <c r="B197" s="4" t="s">
        <v>28</v>
      </c>
      <c r="C197" s="4" t="s">
        <v>14</v>
      </c>
      <c r="D197" s="4" t="s">
        <v>506</v>
      </c>
      <c r="E197" s="4" t="s">
        <v>507</v>
      </c>
      <c r="F197" s="4" t="s">
        <v>17</v>
      </c>
      <c r="G197" s="4" t="s">
        <v>117</v>
      </c>
      <c r="H197" s="3">
        <v>9.4931941789999996</v>
      </c>
      <c r="I197" s="4" t="s">
        <v>361</v>
      </c>
      <c r="J197" s="4" t="s">
        <v>362</v>
      </c>
      <c r="K197" s="3" t="s">
        <v>363</v>
      </c>
      <c r="L197" s="4" t="s">
        <v>364</v>
      </c>
      <c r="M197" s="4" t="s">
        <v>8</v>
      </c>
      <c r="N197" s="1"/>
    </row>
    <row r="198" spans="1:14" ht="15.75" thickBot="1">
      <c r="A198" s="3">
        <v>195</v>
      </c>
      <c r="B198" s="4" t="s">
        <v>13</v>
      </c>
      <c r="C198" s="4" t="s">
        <v>14</v>
      </c>
      <c r="D198" s="4" t="s">
        <v>506</v>
      </c>
      <c r="E198" s="4" t="s">
        <v>507</v>
      </c>
      <c r="F198" s="4" t="s">
        <v>17</v>
      </c>
      <c r="G198" s="4" t="s">
        <v>117</v>
      </c>
      <c r="H198" s="3">
        <v>4.0425514050000002</v>
      </c>
      <c r="I198" s="4" t="s">
        <v>365</v>
      </c>
      <c r="J198" s="4" t="s">
        <v>366</v>
      </c>
      <c r="K198" s="3" t="s">
        <v>367</v>
      </c>
      <c r="L198" s="4" t="s">
        <v>368</v>
      </c>
      <c r="M198" s="4" t="s">
        <v>8</v>
      </c>
      <c r="N198" s="1"/>
    </row>
    <row r="199" spans="1:14" ht="15.75" thickBot="1">
      <c r="A199" s="3">
        <v>196</v>
      </c>
      <c r="B199" s="4" t="s">
        <v>13</v>
      </c>
      <c r="C199" s="4" t="s">
        <v>14</v>
      </c>
      <c r="D199" s="4" t="s">
        <v>506</v>
      </c>
      <c r="E199" s="4" t="s">
        <v>507</v>
      </c>
      <c r="F199" s="4" t="s">
        <v>17</v>
      </c>
      <c r="G199" s="4" t="s">
        <v>117</v>
      </c>
      <c r="H199" s="3">
        <v>8.2489647690000005</v>
      </c>
      <c r="I199" s="4" t="s">
        <v>369</v>
      </c>
      <c r="J199" s="4" t="s">
        <v>370</v>
      </c>
      <c r="K199" s="3" t="s">
        <v>371</v>
      </c>
      <c r="L199" s="4" t="s">
        <v>372</v>
      </c>
      <c r="M199" s="4" t="s">
        <v>8</v>
      </c>
      <c r="N199" s="1"/>
    </row>
    <row r="200" spans="1:14" ht="15.75" thickBot="1">
      <c r="A200" s="3">
        <v>197</v>
      </c>
      <c r="B200" s="4" t="s">
        <v>28</v>
      </c>
      <c r="C200" s="4" t="s">
        <v>14</v>
      </c>
      <c r="D200" s="4" t="s">
        <v>506</v>
      </c>
      <c r="E200" s="4" t="s">
        <v>507</v>
      </c>
      <c r="F200" s="4" t="s">
        <v>17</v>
      </c>
      <c r="G200" s="4" t="s">
        <v>117</v>
      </c>
      <c r="H200" s="3">
        <v>3.280102657</v>
      </c>
      <c r="I200" s="4" t="s">
        <v>270</v>
      </c>
      <c r="J200" s="4" t="s">
        <v>271</v>
      </c>
      <c r="K200" s="3" t="s">
        <v>272</v>
      </c>
      <c r="L200" s="4" t="s">
        <v>273</v>
      </c>
      <c r="M200" s="4" t="s">
        <v>8</v>
      </c>
      <c r="N200" s="1"/>
    </row>
    <row r="201" spans="1:14" ht="15.75" thickBot="1">
      <c r="A201" s="3">
        <v>198</v>
      </c>
      <c r="B201" s="4" t="s">
        <v>13</v>
      </c>
      <c r="C201" s="4" t="s">
        <v>14</v>
      </c>
      <c r="D201" s="4" t="s">
        <v>506</v>
      </c>
      <c r="E201" s="4" t="s">
        <v>507</v>
      </c>
      <c r="F201" s="4" t="s">
        <v>17</v>
      </c>
      <c r="G201" s="4" t="s">
        <v>117</v>
      </c>
      <c r="H201" s="3">
        <v>1.779844107</v>
      </c>
      <c r="I201" s="4" t="s">
        <v>373</v>
      </c>
      <c r="J201" s="4" t="s">
        <v>374</v>
      </c>
      <c r="K201" s="3" t="s">
        <v>375</v>
      </c>
      <c r="L201" s="4" t="s">
        <v>376</v>
      </c>
      <c r="M201" s="4" t="s">
        <v>8</v>
      </c>
      <c r="N201" s="1"/>
    </row>
    <row r="202" spans="1:14" ht="15.75" thickBot="1">
      <c r="A202" s="3">
        <v>199</v>
      </c>
      <c r="B202" s="4" t="s">
        <v>67</v>
      </c>
      <c r="C202" s="4" t="s">
        <v>14</v>
      </c>
      <c r="D202" s="4" t="s">
        <v>506</v>
      </c>
      <c r="E202" s="4" t="s">
        <v>507</v>
      </c>
      <c r="F202" s="4" t="s">
        <v>17</v>
      </c>
      <c r="G202" s="4" t="s">
        <v>117</v>
      </c>
      <c r="H202" s="3">
        <v>1.044645957</v>
      </c>
      <c r="I202" s="4" t="s">
        <v>377</v>
      </c>
      <c r="J202" s="4" t="s">
        <v>378</v>
      </c>
      <c r="K202" s="3" t="s">
        <v>379</v>
      </c>
      <c r="L202" s="4" t="s">
        <v>380</v>
      </c>
      <c r="M202" s="4" t="s">
        <v>8</v>
      </c>
      <c r="N202" s="1"/>
    </row>
    <row r="203" spans="1:14" ht="15.75" thickBot="1">
      <c r="A203" s="3">
        <v>200</v>
      </c>
      <c r="B203" s="4" t="s">
        <v>67</v>
      </c>
      <c r="C203" s="4" t="s">
        <v>14</v>
      </c>
      <c r="D203" s="4" t="s">
        <v>506</v>
      </c>
      <c r="E203" s="4" t="s">
        <v>507</v>
      </c>
      <c r="F203" s="4" t="s">
        <v>17</v>
      </c>
      <c r="G203" s="4" t="s">
        <v>117</v>
      </c>
      <c r="H203" s="3">
        <v>1.057106943</v>
      </c>
      <c r="I203" s="4" t="s">
        <v>381</v>
      </c>
      <c r="J203" s="4" t="s">
        <v>382</v>
      </c>
      <c r="K203" s="3" t="s">
        <v>383</v>
      </c>
      <c r="L203" s="4" t="s">
        <v>384</v>
      </c>
      <c r="M203" s="4" t="s">
        <v>8</v>
      </c>
      <c r="N203" s="1"/>
    </row>
    <row r="204" spans="1:14" ht="15.75" thickBot="1">
      <c r="A204" s="3">
        <v>201</v>
      </c>
      <c r="B204" s="4" t="s">
        <v>44</v>
      </c>
      <c r="C204" s="4" t="s">
        <v>14</v>
      </c>
      <c r="D204" s="4" t="s">
        <v>506</v>
      </c>
      <c r="E204" s="4" t="s">
        <v>507</v>
      </c>
      <c r="F204" s="4" t="s">
        <v>17</v>
      </c>
      <c r="G204" s="4" t="s">
        <v>117</v>
      </c>
      <c r="H204" s="3">
        <v>1.368631583</v>
      </c>
      <c r="I204" s="4" t="s">
        <v>385</v>
      </c>
      <c r="J204" s="4" t="s">
        <v>386</v>
      </c>
      <c r="K204" s="3" t="s">
        <v>387</v>
      </c>
      <c r="L204" s="4" t="s">
        <v>388</v>
      </c>
      <c r="M204" s="4" t="s">
        <v>8</v>
      </c>
      <c r="N204" s="1"/>
    </row>
    <row r="205" spans="1:14" ht="15.75" thickBot="1">
      <c r="A205" s="3">
        <v>202</v>
      </c>
      <c r="B205" s="4" t="s">
        <v>28</v>
      </c>
      <c r="C205" s="4" t="s">
        <v>14</v>
      </c>
      <c r="D205" s="4" t="s">
        <v>506</v>
      </c>
      <c r="E205" s="4" t="s">
        <v>507</v>
      </c>
      <c r="F205" s="4" t="s">
        <v>17</v>
      </c>
      <c r="G205" s="4" t="s">
        <v>117</v>
      </c>
      <c r="H205" s="3">
        <v>0.65482479299999996</v>
      </c>
      <c r="I205" s="4" t="s">
        <v>389</v>
      </c>
      <c r="J205" s="4" t="s">
        <v>390</v>
      </c>
      <c r="K205" s="3" t="s">
        <v>391</v>
      </c>
      <c r="L205" s="4" t="s">
        <v>392</v>
      </c>
      <c r="M205" s="4" t="s">
        <v>8</v>
      </c>
      <c r="N205" s="1"/>
    </row>
    <row r="206" spans="1:14" ht="15.75" thickBot="1">
      <c r="A206" s="3">
        <v>203</v>
      </c>
      <c r="B206" s="4" t="s">
        <v>173</v>
      </c>
      <c r="C206" s="4" t="s">
        <v>14</v>
      </c>
      <c r="D206" s="4" t="s">
        <v>506</v>
      </c>
      <c r="E206" s="4" t="s">
        <v>507</v>
      </c>
      <c r="F206" s="4" t="s">
        <v>17</v>
      </c>
      <c r="G206" s="4" t="s">
        <v>117</v>
      </c>
      <c r="H206" s="3">
        <v>1.102797223</v>
      </c>
      <c r="I206" s="4" t="s">
        <v>393</v>
      </c>
      <c r="J206" s="4" t="s">
        <v>394</v>
      </c>
      <c r="K206" s="3" t="s">
        <v>395</v>
      </c>
      <c r="L206" s="4" t="s">
        <v>396</v>
      </c>
      <c r="M206" s="4" t="s">
        <v>8</v>
      </c>
      <c r="N206" s="1"/>
    </row>
    <row r="207" spans="1:14" ht="15.75" thickBot="1">
      <c r="A207" s="3">
        <v>204</v>
      </c>
      <c r="B207" s="4" t="s">
        <v>28</v>
      </c>
      <c r="C207" s="4" t="s">
        <v>14</v>
      </c>
      <c r="D207" s="4" t="s">
        <v>506</v>
      </c>
      <c r="E207" s="4" t="s">
        <v>507</v>
      </c>
      <c r="F207" s="4" t="s">
        <v>17</v>
      </c>
      <c r="G207" s="4" t="s">
        <v>117</v>
      </c>
      <c r="H207" s="3">
        <v>1.5918909080000001</v>
      </c>
      <c r="I207" s="4" t="s">
        <v>397</v>
      </c>
      <c r="J207" s="4" t="s">
        <v>398</v>
      </c>
      <c r="K207" s="3" t="s">
        <v>399</v>
      </c>
      <c r="L207" s="4" t="s">
        <v>400</v>
      </c>
      <c r="M207" s="4" t="s">
        <v>8</v>
      </c>
      <c r="N207" s="1"/>
    </row>
    <row r="208" spans="1:14" ht="15.75" thickBot="1">
      <c r="A208" s="3">
        <v>205</v>
      </c>
      <c r="B208" s="4" t="s">
        <v>28</v>
      </c>
      <c r="C208" s="4" t="s">
        <v>14</v>
      </c>
      <c r="D208" s="4" t="s">
        <v>506</v>
      </c>
      <c r="E208" s="4" t="s">
        <v>507</v>
      </c>
      <c r="F208" s="4" t="s">
        <v>17</v>
      </c>
      <c r="G208" s="4" t="s">
        <v>117</v>
      </c>
      <c r="H208" s="3">
        <v>9.0485894160000004</v>
      </c>
      <c r="I208" s="4" t="s">
        <v>274</v>
      </c>
      <c r="J208" s="4" t="s">
        <v>275</v>
      </c>
      <c r="K208" s="3" t="s">
        <v>276</v>
      </c>
      <c r="L208" s="4" t="s">
        <v>277</v>
      </c>
      <c r="M208" s="4" t="s">
        <v>8</v>
      </c>
      <c r="N208" s="1"/>
    </row>
    <row r="209" spans="1:14" ht="15.75" thickBot="1">
      <c r="A209" s="3">
        <v>206</v>
      </c>
      <c r="B209" s="4" t="s">
        <v>114</v>
      </c>
      <c r="C209" s="4" t="s">
        <v>14</v>
      </c>
      <c r="D209" s="4" t="s">
        <v>506</v>
      </c>
      <c r="E209" s="4" t="s">
        <v>507</v>
      </c>
      <c r="F209" s="4" t="s">
        <v>17</v>
      </c>
      <c r="G209" s="4" t="s">
        <v>117</v>
      </c>
      <c r="H209" s="3">
        <v>5.5193004590000001</v>
      </c>
      <c r="I209" s="4" t="s">
        <v>278</v>
      </c>
      <c r="J209" s="4" t="s">
        <v>279</v>
      </c>
      <c r="K209" s="3" t="s">
        <v>280</v>
      </c>
      <c r="L209" s="4" t="s">
        <v>281</v>
      </c>
      <c r="M209" s="4" t="s">
        <v>8</v>
      </c>
      <c r="N209" s="1"/>
    </row>
    <row r="210" spans="1:14" ht="15.75" thickBot="1">
      <c r="A210" s="3">
        <v>207</v>
      </c>
      <c r="B210" s="4" t="s">
        <v>13</v>
      </c>
      <c r="C210" s="4" t="s">
        <v>14</v>
      </c>
      <c r="D210" s="4" t="s">
        <v>506</v>
      </c>
      <c r="E210" s="4" t="s">
        <v>507</v>
      </c>
      <c r="F210" s="4" t="s">
        <v>17</v>
      </c>
      <c r="G210" s="4" t="s">
        <v>117</v>
      </c>
      <c r="H210" s="3">
        <v>5.8026656179999998</v>
      </c>
      <c r="I210" s="4" t="s">
        <v>401</v>
      </c>
      <c r="J210" s="4" t="s">
        <v>402</v>
      </c>
      <c r="K210" s="3" t="s">
        <v>403</v>
      </c>
      <c r="L210" s="4" t="s">
        <v>404</v>
      </c>
      <c r="M210" s="4" t="s">
        <v>8</v>
      </c>
      <c r="N210" s="1"/>
    </row>
    <row r="211" spans="1:14" ht="15.75" thickBot="1">
      <c r="A211" s="3">
        <v>208</v>
      </c>
      <c r="B211" s="4" t="s">
        <v>28</v>
      </c>
      <c r="C211" s="4" t="s">
        <v>14</v>
      </c>
      <c r="D211" s="4" t="s">
        <v>506</v>
      </c>
      <c r="E211" s="4" t="s">
        <v>507</v>
      </c>
      <c r="F211" s="4" t="s">
        <v>17</v>
      </c>
      <c r="G211" s="4" t="s">
        <v>117</v>
      </c>
      <c r="H211" s="3">
        <v>7.4105196429999998</v>
      </c>
      <c r="I211" s="4" t="s">
        <v>498</v>
      </c>
      <c r="J211" s="4" t="s">
        <v>499</v>
      </c>
      <c r="K211" s="3" t="s">
        <v>500</v>
      </c>
      <c r="L211" s="4" t="s">
        <v>501</v>
      </c>
      <c r="M211" s="4" t="s">
        <v>8</v>
      </c>
      <c r="N211" s="1"/>
    </row>
    <row r="212" spans="1:14" ht="15.75" thickBot="1">
      <c r="A212" s="3">
        <v>209</v>
      </c>
      <c r="B212" s="4" t="s">
        <v>13</v>
      </c>
      <c r="C212" s="4" t="s">
        <v>14</v>
      </c>
      <c r="D212" s="4" t="s">
        <v>506</v>
      </c>
      <c r="E212" s="4" t="s">
        <v>507</v>
      </c>
      <c r="F212" s="4" t="s">
        <v>17</v>
      </c>
      <c r="G212" s="4" t="s">
        <v>117</v>
      </c>
      <c r="H212" s="3">
        <v>7.7159098420000003</v>
      </c>
      <c r="I212" s="4" t="s">
        <v>63</v>
      </c>
      <c r="J212" s="4" t="s">
        <v>64</v>
      </c>
      <c r="K212" s="3" t="s">
        <v>65</v>
      </c>
      <c r="L212" s="4" t="s">
        <v>66</v>
      </c>
      <c r="M212" s="4" t="s">
        <v>8</v>
      </c>
      <c r="N212" s="1"/>
    </row>
    <row r="213" spans="1:14" ht="15.75" thickBot="1">
      <c r="A213" s="3">
        <v>210</v>
      </c>
      <c r="B213" s="4" t="s">
        <v>67</v>
      </c>
      <c r="C213" s="4" t="s">
        <v>14</v>
      </c>
      <c r="D213" s="4" t="s">
        <v>506</v>
      </c>
      <c r="E213" s="4" t="s">
        <v>507</v>
      </c>
      <c r="F213" s="4" t="s">
        <v>17</v>
      </c>
      <c r="G213" s="4" t="s">
        <v>117</v>
      </c>
      <c r="H213" s="3">
        <v>3.0316708619999999</v>
      </c>
      <c r="I213" s="4" t="s">
        <v>68</v>
      </c>
      <c r="J213" s="4" t="s">
        <v>69</v>
      </c>
      <c r="K213" s="3" t="s">
        <v>70</v>
      </c>
      <c r="L213" s="4" t="s">
        <v>71</v>
      </c>
      <c r="M213" s="4" t="s">
        <v>8</v>
      </c>
      <c r="N213" s="1"/>
    </row>
    <row r="214" spans="1:14" ht="15.75" thickBot="1">
      <c r="A214" s="3">
        <v>211</v>
      </c>
      <c r="B214" s="4" t="s">
        <v>67</v>
      </c>
      <c r="C214" s="4" t="s">
        <v>14</v>
      </c>
      <c r="D214" s="4" t="s">
        <v>506</v>
      </c>
      <c r="E214" s="4" t="s">
        <v>507</v>
      </c>
      <c r="F214" s="4" t="s">
        <v>17</v>
      </c>
      <c r="G214" s="4" t="s">
        <v>117</v>
      </c>
      <c r="H214" s="3">
        <v>2.5763087690000002</v>
      </c>
      <c r="I214" s="4" t="s">
        <v>405</v>
      </c>
      <c r="J214" s="4" t="s">
        <v>406</v>
      </c>
      <c r="K214" s="3" t="s">
        <v>407</v>
      </c>
      <c r="L214" s="4" t="s">
        <v>408</v>
      </c>
      <c r="M214" s="4" t="s">
        <v>8</v>
      </c>
      <c r="N214" s="1"/>
    </row>
    <row r="215" spans="1:14" ht="15.75" thickBot="1">
      <c r="A215" s="3">
        <v>212</v>
      </c>
      <c r="B215" s="4" t="s">
        <v>28</v>
      </c>
      <c r="C215" s="4" t="s">
        <v>14</v>
      </c>
      <c r="D215" s="4" t="s">
        <v>506</v>
      </c>
      <c r="E215" s="4" t="s">
        <v>507</v>
      </c>
      <c r="F215" s="4" t="s">
        <v>17</v>
      </c>
      <c r="G215" s="4" t="s">
        <v>117</v>
      </c>
      <c r="H215" s="3">
        <v>4.785018462</v>
      </c>
      <c r="I215" s="4" t="s">
        <v>409</v>
      </c>
      <c r="J215" s="4" t="s">
        <v>410</v>
      </c>
      <c r="K215" s="3" t="s">
        <v>411</v>
      </c>
      <c r="L215" s="4" t="s">
        <v>412</v>
      </c>
      <c r="M215" s="4" t="s">
        <v>8</v>
      </c>
      <c r="N215" s="1"/>
    </row>
    <row r="216" spans="1:14" ht="15.75" thickBot="1">
      <c r="A216" s="3">
        <v>213</v>
      </c>
      <c r="B216" s="4" t="s">
        <v>67</v>
      </c>
      <c r="C216" s="4" t="s">
        <v>14</v>
      </c>
      <c r="D216" s="4" t="s">
        <v>506</v>
      </c>
      <c r="E216" s="4" t="s">
        <v>507</v>
      </c>
      <c r="F216" s="4" t="s">
        <v>17</v>
      </c>
      <c r="G216" s="4" t="s">
        <v>117</v>
      </c>
      <c r="H216" s="3">
        <v>3.4124409010000001</v>
      </c>
      <c r="I216" s="4" t="s">
        <v>413</v>
      </c>
      <c r="J216" s="4" t="s">
        <v>414</v>
      </c>
      <c r="K216" s="3" t="s">
        <v>415</v>
      </c>
      <c r="L216" s="4" t="s">
        <v>416</v>
      </c>
      <c r="M216" s="4" t="s">
        <v>8</v>
      </c>
      <c r="N216" s="1"/>
    </row>
    <row r="217" spans="1:14" ht="15.75" thickBot="1">
      <c r="A217" s="3">
        <v>214</v>
      </c>
      <c r="B217" s="4" t="s">
        <v>28</v>
      </c>
      <c r="C217" s="4" t="s">
        <v>14</v>
      </c>
      <c r="D217" s="4" t="s">
        <v>506</v>
      </c>
      <c r="E217" s="4" t="s">
        <v>507</v>
      </c>
      <c r="F217" s="4" t="s">
        <v>17</v>
      </c>
      <c r="G217" s="4" t="s">
        <v>117</v>
      </c>
      <c r="H217" s="3">
        <v>2.1974948059999999</v>
      </c>
      <c r="I217" s="4" t="s">
        <v>417</v>
      </c>
      <c r="J217" s="4" t="s">
        <v>418</v>
      </c>
      <c r="K217" s="3" t="s">
        <v>419</v>
      </c>
      <c r="L217" s="4" t="s">
        <v>420</v>
      </c>
      <c r="M217" s="4" t="s">
        <v>8</v>
      </c>
      <c r="N217" s="1"/>
    </row>
    <row r="218" spans="1:14" ht="15.75" thickBot="1">
      <c r="A218" s="3">
        <v>215</v>
      </c>
      <c r="B218" s="4" t="s">
        <v>28</v>
      </c>
      <c r="C218" s="4" t="s">
        <v>14</v>
      </c>
      <c r="D218" s="4" t="s">
        <v>506</v>
      </c>
      <c r="E218" s="4" t="s">
        <v>507</v>
      </c>
      <c r="F218" s="4" t="s">
        <v>17</v>
      </c>
      <c r="G218" s="4" t="s">
        <v>117</v>
      </c>
      <c r="H218" s="3">
        <v>0.75451267700000002</v>
      </c>
      <c r="I218" s="4" t="s">
        <v>421</v>
      </c>
      <c r="J218" s="4" t="s">
        <v>422</v>
      </c>
      <c r="K218" s="3" t="s">
        <v>423</v>
      </c>
      <c r="L218" s="4" t="s">
        <v>424</v>
      </c>
      <c r="M218" s="4" t="s">
        <v>8</v>
      </c>
      <c r="N218" s="1"/>
    </row>
    <row r="219" spans="1:14" ht="15.75" thickBot="1">
      <c r="A219" s="3">
        <v>216</v>
      </c>
      <c r="B219" s="4" t="s">
        <v>340</v>
      </c>
      <c r="C219" s="4" t="s">
        <v>14</v>
      </c>
      <c r="D219" s="4" t="s">
        <v>506</v>
      </c>
      <c r="E219" s="4" t="s">
        <v>507</v>
      </c>
      <c r="F219" s="4" t="s">
        <v>17</v>
      </c>
      <c r="G219" s="4" t="s">
        <v>117</v>
      </c>
      <c r="H219" s="3">
        <v>0.97112614200000003</v>
      </c>
      <c r="I219" s="4" t="s">
        <v>425</v>
      </c>
      <c r="J219" s="4" t="s">
        <v>426</v>
      </c>
      <c r="K219" s="3" t="s">
        <v>427</v>
      </c>
      <c r="L219" s="4" t="s">
        <v>428</v>
      </c>
      <c r="M219" s="4" t="s">
        <v>8</v>
      </c>
      <c r="N219" s="1"/>
    </row>
    <row r="220" spans="1:14" ht="15.75" thickBot="1">
      <c r="A220" s="3">
        <v>217</v>
      </c>
      <c r="B220" s="4" t="s">
        <v>340</v>
      </c>
      <c r="C220" s="4" t="s">
        <v>14</v>
      </c>
      <c r="D220" s="4" t="s">
        <v>506</v>
      </c>
      <c r="E220" s="4" t="s">
        <v>507</v>
      </c>
      <c r="F220" s="4" t="s">
        <v>17</v>
      </c>
      <c r="G220" s="4" t="s">
        <v>117</v>
      </c>
      <c r="H220" s="3">
        <v>0.94246587699999995</v>
      </c>
      <c r="I220" s="4" t="s">
        <v>429</v>
      </c>
      <c r="J220" s="4" t="s">
        <v>430</v>
      </c>
      <c r="K220" s="3" t="s">
        <v>431</v>
      </c>
      <c r="L220" s="4" t="s">
        <v>432</v>
      </c>
      <c r="M220" s="4" t="s">
        <v>8</v>
      </c>
      <c r="N220" s="1"/>
    </row>
    <row r="221" spans="1:14" ht="15.75" thickBot="1">
      <c r="A221" s="3">
        <v>218</v>
      </c>
      <c r="B221" s="4" t="s">
        <v>28</v>
      </c>
      <c r="C221" s="4" t="s">
        <v>14</v>
      </c>
      <c r="D221" s="4" t="s">
        <v>506</v>
      </c>
      <c r="E221" s="4" t="s">
        <v>507</v>
      </c>
      <c r="F221" s="4" t="s">
        <v>17</v>
      </c>
      <c r="G221" s="4" t="s">
        <v>117</v>
      </c>
      <c r="H221" s="3">
        <v>13.048735561999999</v>
      </c>
      <c r="I221" s="4" t="s">
        <v>72</v>
      </c>
      <c r="J221" s="4" t="s">
        <v>73</v>
      </c>
      <c r="K221" s="3" t="s">
        <v>74</v>
      </c>
      <c r="L221" s="4" t="s">
        <v>75</v>
      </c>
      <c r="M221" s="4" t="s">
        <v>8</v>
      </c>
      <c r="N221" s="1"/>
    </row>
    <row r="222" spans="1:14" ht="15.75" thickBot="1">
      <c r="A222" s="3">
        <v>219</v>
      </c>
      <c r="B222" s="4" t="s">
        <v>340</v>
      </c>
      <c r="C222" s="4" t="s">
        <v>14</v>
      </c>
      <c r="D222" s="4" t="s">
        <v>506</v>
      </c>
      <c r="E222" s="4" t="s">
        <v>507</v>
      </c>
      <c r="F222" s="4" t="s">
        <v>17</v>
      </c>
      <c r="G222" s="4" t="s">
        <v>117</v>
      </c>
      <c r="H222" s="3">
        <v>1.7702906839999999</v>
      </c>
      <c r="I222" s="4" t="s">
        <v>433</v>
      </c>
      <c r="J222" s="4" t="s">
        <v>434</v>
      </c>
      <c r="K222" s="3" t="s">
        <v>435</v>
      </c>
      <c r="L222" s="4" t="s">
        <v>436</v>
      </c>
      <c r="M222" s="4" t="s">
        <v>8</v>
      </c>
      <c r="N222" s="1"/>
    </row>
    <row r="223" spans="1:14" ht="15.75" thickBot="1">
      <c r="A223" s="3">
        <v>220</v>
      </c>
      <c r="B223" s="4" t="s">
        <v>340</v>
      </c>
      <c r="C223" s="4" t="s">
        <v>14</v>
      </c>
      <c r="D223" s="4" t="s">
        <v>506</v>
      </c>
      <c r="E223" s="4" t="s">
        <v>507</v>
      </c>
      <c r="F223" s="4" t="s">
        <v>17</v>
      </c>
      <c r="G223" s="4" t="s">
        <v>117</v>
      </c>
      <c r="H223" s="3">
        <v>2.2554383900000001</v>
      </c>
      <c r="I223" s="4" t="s">
        <v>437</v>
      </c>
      <c r="J223" s="4" t="s">
        <v>438</v>
      </c>
      <c r="K223" s="3" t="s">
        <v>439</v>
      </c>
      <c r="L223" s="4" t="s">
        <v>440</v>
      </c>
      <c r="M223" s="4" t="s">
        <v>8</v>
      </c>
      <c r="N223" s="1"/>
    </row>
    <row r="224" spans="1:14" ht="15.75" thickBot="1">
      <c r="A224" s="3">
        <v>221</v>
      </c>
      <c r="B224" s="4" t="s">
        <v>28</v>
      </c>
      <c r="C224" s="4" t="s">
        <v>14</v>
      </c>
      <c r="D224" s="4" t="s">
        <v>506</v>
      </c>
      <c r="E224" s="4" t="s">
        <v>507</v>
      </c>
      <c r="F224" s="4" t="s">
        <v>17</v>
      </c>
      <c r="G224" s="4" t="s">
        <v>117</v>
      </c>
      <c r="H224" s="3">
        <v>12.531291473</v>
      </c>
      <c r="I224" s="4" t="s">
        <v>76</v>
      </c>
      <c r="J224" s="4" t="s">
        <v>77</v>
      </c>
      <c r="K224" s="3" t="s">
        <v>78</v>
      </c>
      <c r="L224" s="4" t="s">
        <v>79</v>
      </c>
      <c r="M224" s="4" t="s">
        <v>8</v>
      </c>
      <c r="N224" s="1"/>
    </row>
    <row r="225" spans="1:14" ht="15.75" thickBot="1">
      <c r="A225" s="3">
        <v>222</v>
      </c>
      <c r="B225" s="4" t="s">
        <v>28</v>
      </c>
      <c r="C225" s="4" t="s">
        <v>14</v>
      </c>
      <c r="D225" s="4" t="s">
        <v>506</v>
      </c>
      <c r="E225" s="4" t="s">
        <v>507</v>
      </c>
      <c r="F225" s="4" t="s">
        <v>17</v>
      </c>
      <c r="G225" s="4" t="s">
        <v>117</v>
      </c>
      <c r="H225" s="3">
        <v>0.76689319300000003</v>
      </c>
      <c r="I225" s="4" t="s">
        <v>282</v>
      </c>
      <c r="J225" s="4" t="s">
        <v>283</v>
      </c>
      <c r="K225" s="3" t="s">
        <v>284</v>
      </c>
      <c r="L225" s="4" t="s">
        <v>285</v>
      </c>
      <c r="M225" s="4" t="s">
        <v>8</v>
      </c>
      <c r="N225" s="1"/>
    </row>
    <row r="226" spans="1:14" ht="15.75" thickBot="1">
      <c r="A226" s="3">
        <v>223</v>
      </c>
      <c r="B226" s="4" t="s">
        <v>67</v>
      </c>
      <c r="C226" s="4" t="s">
        <v>14</v>
      </c>
      <c r="D226" s="4" t="s">
        <v>506</v>
      </c>
      <c r="E226" s="4" t="s">
        <v>507</v>
      </c>
      <c r="F226" s="4" t="s">
        <v>17</v>
      </c>
      <c r="G226" s="4" t="s">
        <v>117</v>
      </c>
      <c r="H226" s="3">
        <v>4.9713957290000002</v>
      </c>
      <c r="I226" s="4" t="s">
        <v>502</v>
      </c>
      <c r="J226" s="4" t="s">
        <v>503</v>
      </c>
      <c r="K226" s="3" t="s">
        <v>504</v>
      </c>
      <c r="L226" s="4" t="s">
        <v>505</v>
      </c>
      <c r="M226" s="4" t="s">
        <v>8</v>
      </c>
      <c r="N226" s="1"/>
    </row>
    <row r="227" spans="1:14" ht="15.75" thickBot="1">
      <c r="A227" s="3">
        <v>224</v>
      </c>
      <c r="B227" s="4" t="s">
        <v>28</v>
      </c>
      <c r="C227" s="4" t="s">
        <v>14</v>
      </c>
      <c r="D227" s="4" t="s">
        <v>520</v>
      </c>
      <c r="E227" s="4" t="s">
        <v>521</v>
      </c>
      <c r="F227" s="4" t="s">
        <v>17</v>
      </c>
      <c r="G227" s="4" t="s">
        <v>18</v>
      </c>
      <c r="H227" s="3">
        <v>0.19493613000000001</v>
      </c>
      <c r="I227" s="4" t="s">
        <v>153</v>
      </c>
      <c r="J227" s="4" t="s">
        <v>154</v>
      </c>
      <c r="K227" s="3" t="s">
        <v>155</v>
      </c>
      <c r="L227" s="4" t="s">
        <v>156</v>
      </c>
      <c r="M227" s="4" t="s">
        <v>8</v>
      </c>
      <c r="N227" s="1"/>
    </row>
    <row r="228" spans="1:14" ht="15.75" thickBot="1">
      <c r="A228" s="3">
        <v>225</v>
      </c>
      <c r="B228" s="4" t="s">
        <v>28</v>
      </c>
      <c r="C228" s="4" t="s">
        <v>14</v>
      </c>
      <c r="D228" s="4" t="s">
        <v>520</v>
      </c>
      <c r="E228" s="4" t="s">
        <v>521</v>
      </c>
      <c r="F228" s="4" t="s">
        <v>17</v>
      </c>
      <c r="G228" s="4" t="s">
        <v>18</v>
      </c>
      <c r="H228" s="3">
        <v>0.63527878900000001</v>
      </c>
      <c r="I228" s="4" t="s">
        <v>157</v>
      </c>
      <c r="J228" s="4" t="s">
        <v>158</v>
      </c>
      <c r="K228" s="3" t="s">
        <v>159</v>
      </c>
      <c r="L228" s="4" t="s">
        <v>160</v>
      </c>
      <c r="M228" s="4" t="s">
        <v>8</v>
      </c>
      <c r="N228" s="1"/>
    </row>
    <row r="229" spans="1:14" ht="15.75" thickBot="1">
      <c r="A229" s="3">
        <v>226</v>
      </c>
      <c r="B229" s="4" t="s">
        <v>13</v>
      </c>
      <c r="C229" s="4" t="s">
        <v>14</v>
      </c>
      <c r="D229" s="4" t="s">
        <v>520</v>
      </c>
      <c r="E229" s="4" t="s">
        <v>521</v>
      </c>
      <c r="F229" s="4" t="s">
        <v>17</v>
      </c>
      <c r="G229" s="4" t="s">
        <v>18</v>
      </c>
      <c r="H229" s="3">
        <v>7.8401094000000005E-2</v>
      </c>
      <c r="I229" s="4" t="s">
        <v>19</v>
      </c>
      <c r="J229" s="4" t="s">
        <v>20</v>
      </c>
      <c r="K229" s="3" t="s">
        <v>21</v>
      </c>
      <c r="L229" s="4" t="s">
        <v>22</v>
      </c>
      <c r="M229" s="4" t="s">
        <v>8</v>
      </c>
      <c r="N229" s="1"/>
    </row>
    <row r="230" spans="1:14" ht="15.75" thickBot="1">
      <c r="A230" s="3">
        <v>227</v>
      </c>
      <c r="B230" s="4" t="s">
        <v>28</v>
      </c>
      <c r="C230" s="4" t="s">
        <v>14</v>
      </c>
      <c r="D230" s="4" t="s">
        <v>520</v>
      </c>
      <c r="E230" s="4" t="s">
        <v>521</v>
      </c>
      <c r="F230" s="4" t="s">
        <v>17</v>
      </c>
      <c r="G230" s="4" t="s">
        <v>18</v>
      </c>
      <c r="H230" s="3">
        <v>0.47248371</v>
      </c>
      <c r="I230" s="4" t="s">
        <v>128</v>
      </c>
      <c r="J230" s="4" t="s">
        <v>129</v>
      </c>
      <c r="K230" s="3" t="s">
        <v>130</v>
      </c>
      <c r="L230" s="4" t="s">
        <v>131</v>
      </c>
      <c r="M230" s="4" t="s">
        <v>8</v>
      </c>
      <c r="N230" s="1"/>
    </row>
    <row r="231" spans="1:14" ht="15.75" thickBot="1">
      <c r="A231" s="3">
        <v>228</v>
      </c>
      <c r="B231" s="4" t="s">
        <v>23</v>
      </c>
      <c r="C231" s="4" t="s">
        <v>14</v>
      </c>
      <c r="D231" s="4" t="s">
        <v>520</v>
      </c>
      <c r="E231" s="4" t="s">
        <v>521</v>
      </c>
      <c r="F231" s="4" t="s">
        <v>17</v>
      </c>
      <c r="G231" s="4" t="s">
        <v>18</v>
      </c>
      <c r="H231" s="3">
        <v>3.5528641999999999E-2</v>
      </c>
      <c r="I231" s="4" t="s">
        <v>24</v>
      </c>
      <c r="J231" s="4" t="s">
        <v>25</v>
      </c>
      <c r="K231" s="3" t="s">
        <v>26</v>
      </c>
      <c r="L231" s="4" t="s">
        <v>27</v>
      </c>
      <c r="M231" s="4" t="s">
        <v>8</v>
      </c>
      <c r="N231" s="1"/>
    </row>
    <row r="232" spans="1:14" ht="15.75" thickBot="1">
      <c r="A232" s="3">
        <v>229</v>
      </c>
      <c r="B232" s="4" t="s">
        <v>28</v>
      </c>
      <c r="C232" s="4" t="s">
        <v>14</v>
      </c>
      <c r="D232" s="4" t="s">
        <v>520</v>
      </c>
      <c r="E232" s="4" t="s">
        <v>521</v>
      </c>
      <c r="F232" s="4" t="s">
        <v>17</v>
      </c>
      <c r="G232" s="4" t="s">
        <v>18</v>
      </c>
      <c r="H232" s="3">
        <v>0.87211157699999997</v>
      </c>
      <c r="I232" s="4" t="s">
        <v>94</v>
      </c>
      <c r="J232" s="4" t="s">
        <v>95</v>
      </c>
      <c r="K232" s="3" t="s">
        <v>132</v>
      </c>
      <c r="L232" s="4" t="s">
        <v>97</v>
      </c>
      <c r="M232" s="4" t="s">
        <v>8</v>
      </c>
      <c r="N232" s="1"/>
    </row>
    <row r="233" spans="1:14" ht="15.75" thickBot="1">
      <c r="A233" s="3">
        <v>230</v>
      </c>
      <c r="B233" s="4" t="s">
        <v>28</v>
      </c>
      <c r="C233" s="4" t="s">
        <v>14</v>
      </c>
      <c r="D233" s="4" t="s">
        <v>520</v>
      </c>
      <c r="E233" s="4" t="s">
        <v>521</v>
      </c>
      <c r="F233" s="4" t="s">
        <v>17</v>
      </c>
      <c r="G233" s="4" t="s">
        <v>18</v>
      </c>
      <c r="H233" s="3">
        <v>0.93394929299999996</v>
      </c>
      <c r="I233" s="4" t="s">
        <v>161</v>
      </c>
      <c r="J233" s="4" t="s">
        <v>162</v>
      </c>
      <c r="K233" s="3" t="s">
        <v>163</v>
      </c>
      <c r="L233" s="4" t="s">
        <v>164</v>
      </c>
      <c r="M233" s="4" t="s">
        <v>8</v>
      </c>
      <c r="N233" s="1"/>
    </row>
    <row r="234" spans="1:14" ht="15.75" thickBot="1">
      <c r="A234" s="3">
        <v>231</v>
      </c>
      <c r="B234" s="4" t="s">
        <v>28</v>
      </c>
      <c r="C234" s="4" t="s">
        <v>14</v>
      </c>
      <c r="D234" s="4" t="s">
        <v>520</v>
      </c>
      <c r="E234" s="4" t="s">
        <v>521</v>
      </c>
      <c r="F234" s="4" t="s">
        <v>17</v>
      </c>
      <c r="G234" s="4" t="s">
        <v>18</v>
      </c>
      <c r="H234" s="3">
        <v>0.33834098400000001</v>
      </c>
      <c r="I234" s="4" t="s">
        <v>165</v>
      </c>
      <c r="J234" s="4" t="s">
        <v>166</v>
      </c>
      <c r="K234" s="3" t="s">
        <v>167</v>
      </c>
      <c r="L234" s="4" t="s">
        <v>168</v>
      </c>
      <c r="M234" s="4" t="s">
        <v>8</v>
      </c>
      <c r="N234" s="1"/>
    </row>
    <row r="235" spans="1:14" ht="15.75" thickBot="1">
      <c r="A235" s="3">
        <v>232</v>
      </c>
      <c r="B235" s="4" t="s">
        <v>114</v>
      </c>
      <c r="C235" s="4" t="s">
        <v>14</v>
      </c>
      <c r="D235" s="4" t="s">
        <v>520</v>
      </c>
      <c r="E235" s="4" t="s">
        <v>521</v>
      </c>
      <c r="F235" s="4" t="s">
        <v>17</v>
      </c>
      <c r="G235" s="4" t="s">
        <v>18</v>
      </c>
      <c r="H235" s="3">
        <v>0.102175549</v>
      </c>
      <c r="I235" s="4" t="s">
        <v>169</v>
      </c>
      <c r="J235" s="4" t="s">
        <v>170</v>
      </c>
      <c r="K235" s="3" t="s">
        <v>171</v>
      </c>
      <c r="L235" s="4" t="s">
        <v>172</v>
      </c>
      <c r="M235" s="4" t="s">
        <v>8</v>
      </c>
      <c r="N235" s="1"/>
    </row>
    <row r="236" spans="1:14" ht="15.75" thickBot="1">
      <c r="A236" s="3">
        <v>233</v>
      </c>
      <c r="B236" s="4" t="s">
        <v>173</v>
      </c>
      <c r="C236" s="4" t="s">
        <v>14</v>
      </c>
      <c r="D236" s="4" t="s">
        <v>520</v>
      </c>
      <c r="E236" s="4" t="s">
        <v>521</v>
      </c>
      <c r="F236" s="4" t="s">
        <v>17</v>
      </c>
      <c r="G236" s="4" t="s">
        <v>18</v>
      </c>
      <c r="H236" s="3">
        <v>5.0621889000000003E-2</v>
      </c>
      <c r="I236" s="4" t="s">
        <v>174</v>
      </c>
      <c r="J236" s="4" t="s">
        <v>175</v>
      </c>
      <c r="K236" s="3" t="s">
        <v>176</v>
      </c>
      <c r="L236" s="4" t="s">
        <v>177</v>
      </c>
      <c r="M236" s="4" t="s">
        <v>8</v>
      </c>
      <c r="N236" s="1"/>
    </row>
    <row r="237" spans="1:14" ht="15.75" thickBot="1">
      <c r="A237" s="3">
        <v>234</v>
      </c>
      <c r="B237" s="4" t="s">
        <v>178</v>
      </c>
      <c r="C237" s="4" t="s">
        <v>14</v>
      </c>
      <c r="D237" s="4" t="s">
        <v>520</v>
      </c>
      <c r="E237" s="4" t="s">
        <v>521</v>
      </c>
      <c r="F237" s="4" t="s">
        <v>17</v>
      </c>
      <c r="G237" s="4" t="s">
        <v>18</v>
      </c>
      <c r="H237" s="3">
        <v>3.2154943999999998E-2</v>
      </c>
      <c r="I237" s="4" t="s">
        <v>179</v>
      </c>
      <c r="J237" s="4" t="s">
        <v>180</v>
      </c>
      <c r="K237" s="3" t="s">
        <v>181</v>
      </c>
      <c r="L237" s="4" t="s">
        <v>182</v>
      </c>
      <c r="M237" s="4" t="s">
        <v>8</v>
      </c>
      <c r="N237" s="1"/>
    </row>
    <row r="238" spans="1:14" ht="15.75" thickBot="1">
      <c r="A238" s="3">
        <v>235</v>
      </c>
      <c r="B238" s="4" t="s">
        <v>173</v>
      </c>
      <c r="C238" s="4" t="s">
        <v>14</v>
      </c>
      <c r="D238" s="4" t="s">
        <v>520</v>
      </c>
      <c r="E238" s="4" t="s">
        <v>521</v>
      </c>
      <c r="F238" s="4" t="s">
        <v>17</v>
      </c>
      <c r="G238" s="4" t="s">
        <v>18</v>
      </c>
      <c r="H238" s="3">
        <v>3.8747862000000001E-2</v>
      </c>
      <c r="I238" s="4" t="s">
        <v>183</v>
      </c>
      <c r="J238" s="4" t="s">
        <v>184</v>
      </c>
      <c r="K238" s="3" t="s">
        <v>185</v>
      </c>
      <c r="L238" s="4" t="s">
        <v>186</v>
      </c>
      <c r="M238" s="4" t="s">
        <v>8</v>
      </c>
      <c r="N238" s="1"/>
    </row>
    <row r="239" spans="1:14" ht="15.75" thickBot="1">
      <c r="A239" s="3">
        <v>236</v>
      </c>
      <c r="B239" s="4" t="s">
        <v>28</v>
      </c>
      <c r="C239" s="4" t="s">
        <v>14</v>
      </c>
      <c r="D239" s="4" t="s">
        <v>520</v>
      </c>
      <c r="E239" s="4" t="s">
        <v>521</v>
      </c>
      <c r="F239" s="4" t="s">
        <v>17</v>
      </c>
      <c r="G239" s="4" t="s">
        <v>18</v>
      </c>
      <c r="H239" s="3">
        <v>0.137211575</v>
      </c>
      <c r="I239" s="4" t="s">
        <v>187</v>
      </c>
      <c r="J239" s="4" t="s">
        <v>188</v>
      </c>
      <c r="K239" s="3" t="s">
        <v>189</v>
      </c>
      <c r="L239" s="4" t="s">
        <v>190</v>
      </c>
      <c r="M239" s="4" t="s">
        <v>8</v>
      </c>
      <c r="N239" s="1"/>
    </row>
    <row r="240" spans="1:14" ht="15.75" thickBot="1">
      <c r="A240" s="3">
        <v>237</v>
      </c>
      <c r="B240" s="4" t="s">
        <v>114</v>
      </c>
      <c r="C240" s="4" t="s">
        <v>14</v>
      </c>
      <c r="D240" s="4" t="s">
        <v>520</v>
      </c>
      <c r="E240" s="4" t="s">
        <v>521</v>
      </c>
      <c r="F240" s="4" t="s">
        <v>17</v>
      </c>
      <c r="G240" s="4" t="s">
        <v>18</v>
      </c>
      <c r="H240" s="3">
        <v>0.22121315</v>
      </c>
      <c r="I240" s="4" t="s">
        <v>191</v>
      </c>
      <c r="J240" s="4" t="s">
        <v>192</v>
      </c>
      <c r="K240" s="3" t="s">
        <v>193</v>
      </c>
      <c r="L240" s="4" t="s">
        <v>194</v>
      </c>
      <c r="M240" s="4" t="s">
        <v>8</v>
      </c>
      <c r="N240" s="1"/>
    </row>
    <row r="241" spans="1:14" ht="15.75" thickBot="1">
      <c r="A241" s="3">
        <v>238</v>
      </c>
      <c r="B241" s="4" t="s">
        <v>44</v>
      </c>
      <c r="C241" s="4" t="s">
        <v>14</v>
      </c>
      <c r="D241" s="4" t="s">
        <v>520</v>
      </c>
      <c r="E241" s="4" t="s">
        <v>521</v>
      </c>
      <c r="F241" s="4" t="s">
        <v>17</v>
      </c>
      <c r="G241" s="4" t="s">
        <v>18</v>
      </c>
      <c r="H241" s="3">
        <v>4.2972555000000003E-2</v>
      </c>
      <c r="I241" s="4" t="s">
        <v>45</v>
      </c>
      <c r="J241" s="4" t="s">
        <v>46</v>
      </c>
      <c r="K241" s="3" t="s">
        <v>47</v>
      </c>
      <c r="L241" s="4" t="s">
        <v>48</v>
      </c>
      <c r="M241" s="4" t="s">
        <v>8</v>
      </c>
      <c r="N241" s="1"/>
    </row>
    <row r="242" spans="1:14" ht="15.75" thickBot="1">
      <c r="A242" s="3">
        <v>239</v>
      </c>
      <c r="B242" s="4" t="s">
        <v>28</v>
      </c>
      <c r="C242" s="4" t="s">
        <v>14</v>
      </c>
      <c r="D242" s="4" t="s">
        <v>520</v>
      </c>
      <c r="E242" s="4" t="s">
        <v>521</v>
      </c>
      <c r="F242" s="4" t="s">
        <v>17</v>
      </c>
      <c r="G242" s="4" t="s">
        <v>18</v>
      </c>
      <c r="H242" s="3">
        <v>0.52737858699999995</v>
      </c>
      <c r="I242" s="4" t="s">
        <v>133</v>
      </c>
      <c r="J242" s="4" t="s">
        <v>134</v>
      </c>
      <c r="K242" s="3" t="s">
        <v>135</v>
      </c>
      <c r="L242" s="4" t="s">
        <v>136</v>
      </c>
      <c r="M242" s="4" t="s">
        <v>8</v>
      </c>
      <c r="N242" s="1"/>
    </row>
    <row r="243" spans="1:14" ht="15.75" thickBot="1">
      <c r="A243" s="3">
        <v>240</v>
      </c>
      <c r="B243" s="4" t="s">
        <v>44</v>
      </c>
      <c r="C243" s="4" t="s">
        <v>14</v>
      </c>
      <c r="D243" s="4" t="s">
        <v>520</v>
      </c>
      <c r="E243" s="4" t="s">
        <v>521</v>
      </c>
      <c r="F243" s="4" t="s">
        <v>17</v>
      </c>
      <c r="G243" s="4" t="s">
        <v>18</v>
      </c>
      <c r="H243" s="3">
        <v>0.31439817599999997</v>
      </c>
      <c r="I243" s="4" t="s">
        <v>200</v>
      </c>
      <c r="J243" s="4" t="s">
        <v>201</v>
      </c>
      <c r="K243" s="3" t="s">
        <v>202</v>
      </c>
      <c r="L243" s="4" t="s">
        <v>203</v>
      </c>
      <c r="M243" s="4" t="s">
        <v>8</v>
      </c>
      <c r="N243" s="1"/>
    </row>
    <row r="244" spans="1:14" ht="15.75" thickBot="1">
      <c r="A244" s="3">
        <v>241</v>
      </c>
      <c r="B244" s="4" t="s">
        <v>114</v>
      </c>
      <c r="C244" s="4" t="s">
        <v>14</v>
      </c>
      <c r="D244" s="4" t="s">
        <v>520</v>
      </c>
      <c r="E244" s="4" t="s">
        <v>521</v>
      </c>
      <c r="F244" s="4" t="s">
        <v>17</v>
      </c>
      <c r="G244" s="4" t="s">
        <v>18</v>
      </c>
      <c r="H244" s="3">
        <v>0.100676591</v>
      </c>
      <c r="I244" s="4" t="s">
        <v>137</v>
      </c>
      <c r="J244" s="4" t="s">
        <v>138</v>
      </c>
      <c r="K244" s="3" t="s">
        <v>139</v>
      </c>
      <c r="L244" s="4" t="s">
        <v>140</v>
      </c>
      <c r="M244" s="4" t="s">
        <v>8</v>
      </c>
      <c r="N244" s="1"/>
    </row>
    <row r="245" spans="1:14" ht="15.75" thickBot="1">
      <c r="A245" s="3">
        <v>242</v>
      </c>
      <c r="B245" s="4" t="s">
        <v>13</v>
      </c>
      <c r="C245" s="4" t="s">
        <v>14</v>
      </c>
      <c r="D245" s="4" t="s">
        <v>520</v>
      </c>
      <c r="E245" s="4" t="s">
        <v>521</v>
      </c>
      <c r="F245" s="4" t="s">
        <v>17</v>
      </c>
      <c r="G245" s="4" t="s">
        <v>18</v>
      </c>
      <c r="H245" s="3">
        <v>0.22674504600000001</v>
      </c>
      <c r="I245" s="4" t="s">
        <v>63</v>
      </c>
      <c r="J245" s="4" t="s">
        <v>64</v>
      </c>
      <c r="K245" s="3" t="s">
        <v>65</v>
      </c>
      <c r="L245" s="4" t="s">
        <v>66</v>
      </c>
      <c r="M245" s="4" t="s">
        <v>8</v>
      </c>
      <c r="N245" s="1"/>
    </row>
    <row r="246" spans="1:14" ht="15.75" thickBot="1">
      <c r="A246" s="3">
        <v>243</v>
      </c>
      <c r="B246" s="4" t="s">
        <v>67</v>
      </c>
      <c r="C246" s="4" t="s">
        <v>14</v>
      </c>
      <c r="D246" s="4" t="s">
        <v>520</v>
      </c>
      <c r="E246" s="4" t="s">
        <v>521</v>
      </c>
      <c r="F246" s="4" t="s">
        <v>17</v>
      </c>
      <c r="G246" s="4" t="s">
        <v>18</v>
      </c>
      <c r="H246" s="3">
        <v>1.3269816E-2</v>
      </c>
      <c r="I246" s="4" t="s">
        <v>208</v>
      </c>
      <c r="J246" s="4" t="s">
        <v>209</v>
      </c>
      <c r="K246" s="3" t="s">
        <v>210</v>
      </c>
      <c r="L246" s="4" t="s">
        <v>211</v>
      </c>
      <c r="M246" s="4" t="s">
        <v>8</v>
      </c>
      <c r="N246" s="1"/>
    </row>
    <row r="247" spans="1:14" ht="15.75" thickBot="1">
      <c r="A247" s="3">
        <v>244</v>
      </c>
      <c r="B247" s="4" t="s">
        <v>67</v>
      </c>
      <c r="C247" s="4" t="s">
        <v>14</v>
      </c>
      <c r="D247" s="4" t="s">
        <v>520</v>
      </c>
      <c r="E247" s="4" t="s">
        <v>521</v>
      </c>
      <c r="F247" s="4" t="s">
        <v>17</v>
      </c>
      <c r="G247" s="4" t="s">
        <v>18</v>
      </c>
      <c r="H247" s="3">
        <v>8.7936545000000005E-2</v>
      </c>
      <c r="I247" s="4" t="s">
        <v>68</v>
      </c>
      <c r="J247" s="4" t="s">
        <v>69</v>
      </c>
      <c r="K247" s="3" t="s">
        <v>70</v>
      </c>
      <c r="L247" s="4" t="s">
        <v>71</v>
      </c>
      <c r="M247" s="4" t="s">
        <v>8</v>
      </c>
      <c r="N247" s="1"/>
    </row>
    <row r="248" spans="1:14" ht="15.75" thickBot="1">
      <c r="A248" s="3">
        <v>245</v>
      </c>
      <c r="B248" s="4" t="s">
        <v>28</v>
      </c>
      <c r="C248" s="4" t="s">
        <v>14</v>
      </c>
      <c r="D248" s="4" t="s">
        <v>520</v>
      </c>
      <c r="E248" s="4" t="s">
        <v>521</v>
      </c>
      <c r="F248" s="4" t="s">
        <v>17</v>
      </c>
      <c r="G248" s="4" t="s">
        <v>18</v>
      </c>
      <c r="H248" s="3">
        <v>0.37849119199999998</v>
      </c>
      <c r="I248" s="4" t="s">
        <v>72</v>
      </c>
      <c r="J248" s="4" t="s">
        <v>73</v>
      </c>
      <c r="K248" s="3" t="s">
        <v>74</v>
      </c>
      <c r="L248" s="4" t="s">
        <v>75</v>
      </c>
      <c r="M248" s="4" t="s">
        <v>8</v>
      </c>
      <c r="N248" s="1"/>
    </row>
    <row r="249" spans="1:14" ht="15.75" thickBot="1">
      <c r="A249" s="3">
        <v>246</v>
      </c>
      <c r="B249" s="4" t="s">
        <v>28</v>
      </c>
      <c r="C249" s="4" t="s">
        <v>14</v>
      </c>
      <c r="D249" s="4" t="s">
        <v>520</v>
      </c>
      <c r="E249" s="4" t="s">
        <v>521</v>
      </c>
      <c r="F249" s="4" t="s">
        <v>17</v>
      </c>
      <c r="G249" s="4" t="s">
        <v>18</v>
      </c>
      <c r="H249" s="3">
        <v>0.34693524999999997</v>
      </c>
      <c r="I249" s="4" t="s">
        <v>141</v>
      </c>
      <c r="J249" s="4" t="s">
        <v>142</v>
      </c>
      <c r="K249" s="3" t="s">
        <v>143</v>
      </c>
      <c r="L249" s="4" t="s">
        <v>144</v>
      </c>
      <c r="M249" s="4" t="s">
        <v>8</v>
      </c>
      <c r="N249" s="1"/>
    </row>
    <row r="250" spans="1:14" ht="15.75" thickBot="1">
      <c r="A250" s="3">
        <v>247</v>
      </c>
      <c r="B250" s="4" t="s">
        <v>28</v>
      </c>
      <c r="C250" s="4" t="s">
        <v>14</v>
      </c>
      <c r="D250" s="4" t="s">
        <v>520</v>
      </c>
      <c r="E250" s="4" t="s">
        <v>521</v>
      </c>
      <c r="F250" s="4" t="s">
        <v>17</v>
      </c>
      <c r="G250" s="4" t="s">
        <v>18</v>
      </c>
      <c r="H250" s="3">
        <v>0.78328156400000004</v>
      </c>
      <c r="I250" s="4" t="s">
        <v>212</v>
      </c>
      <c r="J250" s="4" t="s">
        <v>213</v>
      </c>
      <c r="K250" s="3" t="s">
        <v>214</v>
      </c>
      <c r="L250" s="4" t="s">
        <v>215</v>
      </c>
      <c r="M250" s="4" t="s">
        <v>8</v>
      </c>
      <c r="N250" s="1"/>
    </row>
    <row r="251" spans="1:14" ht="15.75" thickBot="1">
      <c r="A251" s="3">
        <v>248</v>
      </c>
      <c r="B251" s="4" t="s">
        <v>28</v>
      </c>
      <c r="C251" s="4" t="s">
        <v>14</v>
      </c>
      <c r="D251" s="4" t="s">
        <v>520</v>
      </c>
      <c r="E251" s="4" t="s">
        <v>521</v>
      </c>
      <c r="F251" s="4" t="s">
        <v>17</v>
      </c>
      <c r="G251" s="4" t="s">
        <v>18</v>
      </c>
      <c r="H251" s="3">
        <v>0.36348222699999999</v>
      </c>
      <c r="I251" s="4" t="s">
        <v>76</v>
      </c>
      <c r="J251" s="4" t="s">
        <v>77</v>
      </c>
      <c r="K251" s="3" t="s">
        <v>78</v>
      </c>
      <c r="L251" s="4" t="s">
        <v>79</v>
      </c>
      <c r="M251" s="4" t="s">
        <v>8</v>
      </c>
      <c r="N251" s="1"/>
    </row>
    <row r="252" spans="1:14" ht="15.75" thickBot="1">
      <c r="A252" s="3">
        <v>249</v>
      </c>
      <c r="B252" s="4" t="s">
        <v>28</v>
      </c>
      <c r="C252" s="4" t="s">
        <v>14</v>
      </c>
      <c r="D252" s="4" t="s">
        <v>520</v>
      </c>
      <c r="E252" s="4" t="s">
        <v>521</v>
      </c>
      <c r="F252" s="4" t="s">
        <v>17</v>
      </c>
      <c r="G252" s="4" t="s">
        <v>18</v>
      </c>
      <c r="H252" s="3">
        <v>0.509465367</v>
      </c>
      <c r="I252" s="4" t="s">
        <v>145</v>
      </c>
      <c r="J252" s="4" t="s">
        <v>146</v>
      </c>
      <c r="K252" s="3" t="s">
        <v>147</v>
      </c>
      <c r="L252" s="4" t="s">
        <v>148</v>
      </c>
      <c r="M252" s="4" t="s">
        <v>8</v>
      </c>
      <c r="N252" s="1"/>
    </row>
    <row r="253" spans="1:14" ht="15.75" thickBot="1">
      <c r="A253" s="3">
        <v>250</v>
      </c>
      <c r="B253" s="4" t="s">
        <v>28</v>
      </c>
      <c r="C253" s="4" t="s">
        <v>14</v>
      </c>
      <c r="D253" s="4" t="s">
        <v>520</v>
      </c>
      <c r="E253" s="4" t="s">
        <v>521</v>
      </c>
      <c r="F253" s="4" t="s">
        <v>17</v>
      </c>
      <c r="G253" s="4" t="s">
        <v>18</v>
      </c>
      <c r="H253" s="3">
        <v>2.1197980000000002E-2</v>
      </c>
      <c r="I253" s="4" t="s">
        <v>49</v>
      </c>
      <c r="J253" s="4" t="s">
        <v>50</v>
      </c>
      <c r="K253" s="3" t="s">
        <v>51</v>
      </c>
      <c r="L253" s="4" t="s">
        <v>52</v>
      </c>
      <c r="M253" s="4" t="s">
        <v>8</v>
      </c>
      <c r="N253" s="1"/>
    </row>
    <row r="254" spans="1:14" ht="15.75" thickBot="1">
      <c r="A254" s="3">
        <v>251</v>
      </c>
      <c r="B254" s="4" t="s">
        <v>28</v>
      </c>
      <c r="C254" s="4" t="s">
        <v>14</v>
      </c>
      <c r="D254" s="4" t="s">
        <v>520</v>
      </c>
      <c r="E254" s="4" t="s">
        <v>521</v>
      </c>
      <c r="F254" s="4" t="s">
        <v>17</v>
      </c>
      <c r="G254" s="4" t="s">
        <v>18</v>
      </c>
      <c r="H254" s="3">
        <v>7.0629699000000004E-2</v>
      </c>
      <c r="I254" s="4" t="s">
        <v>53</v>
      </c>
      <c r="J254" s="4" t="s">
        <v>54</v>
      </c>
      <c r="K254" s="3" t="s">
        <v>55</v>
      </c>
      <c r="L254" s="4" t="s">
        <v>56</v>
      </c>
      <c r="M254" s="4" t="s">
        <v>8</v>
      </c>
      <c r="N254" s="1"/>
    </row>
    <row r="255" spans="1:14" ht="15.75" thickBot="1">
      <c r="A255" s="3">
        <v>252</v>
      </c>
      <c r="B255" s="4" t="s">
        <v>28</v>
      </c>
      <c r="C255" s="4" t="s">
        <v>14</v>
      </c>
      <c r="D255" s="4" t="s">
        <v>520</v>
      </c>
      <c r="E255" s="4" t="s">
        <v>521</v>
      </c>
      <c r="F255" s="4" t="s">
        <v>17</v>
      </c>
      <c r="G255" s="4" t="s">
        <v>18</v>
      </c>
      <c r="H255" s="3">
        <v>0.42679073499999998</v>
      </c>
      <c r="I255" s="4" t="s">
        <v>57</v>
      </c>
      <c r="J255" s="4" t="s">
        <v>58</v>
      </c>
      <c r="K255" s="3" t="s">
        <v>59</v>
      </c>
      <c r="L255" s="4" t="s">
        <v>60</v>
      </c>
      <c r="M255" s="4" t="s">
        <v>8</v>
      </c>
      <c r="N255" s="1"/>
    </row>
    <row r="256" spans="1:14" ht="15.75" thickBot="1">
      <c r="A256" s="3">
        <v>253</v>
      </c>
      <c r="B256" s="4" t="s">
        <v>13</v>
      </c>
      <c r="C256" s="4" t="s">
        <v>14</v>
      </c>
      <c r="D256" s="4" t="s">
        <v>520</v>
      </c>
      <c r="E256" s="4" t="s">
        <v>521</v>
      </c>
      <c r="F256" s="4" t="s">
        <v>17</v>
      </c>
      <c r="G256" s="4" t="s">
        <v>18</v>
      </c>
      <c r="H256" s="3">
        <v>2.0881934850000001</v>
      </c>
      <c r="I256" s="4" t="s">
        <v>216</v>
      </c>
      <c r="J256" s="4" t="s">
        <v>217</v>
      </c>
      <c r="K256" s="3" t="s">
        <v>218</v>
      </c>
      <c r="L256" s="4" t="s">
        <v>219</v>
      </c>
      <c r="M256" s="4" t="s">
        <v>8</v>
      </c>
      <c r="N256" s="1"/>
    </row>
    <row r="257" spans="1:14" ht="15.75" thickBot="1">
      <c r="A257" s="3">
        <v>254</v>
      </c>
      <c r="B257" s="4" t="s">
        <v>67</v>
      </c>
      <c r="C257" s="4" t="s">
        <v>14</v>
      </c>
      <c r="D257" s="4" t="s">
        <v>522</v>
      </c>
      <c r="E257" s="4" t="s">
        <v>523</v>
      </c>
      <c r="F257" s="4" t="s">
        <v>17</v>
      </c>
      <c r="G257" s="4" t="s">
        <v>18</v>
      </c>
      <c r="H257" s="3">
        <v>0.70787814299999996</v>
      </c>
      <c r="I257" s="4" t="s">
        <v>508</v>
      </c>
      <c r="J257" s="4" t="s">
        <v>509</v>
      </c>
      <c r="K257" s="3" t="s">
        <v>510</v>
      </c>
      <c r="L257" s="4" t="s">
        <v>511</v>
      </c>
      <c r="M257" s="4" t="s">
        <v>8</v>
      </c>
      <c r="N257" s="1"/>
    </row>
    <row r="258" spans="1:14" ht="15.75" thickBot="1">
      <c r="A258" s="3">
        <v>255</v>
      </c>
      <c r="B258" s="4" t="s">
        <v>67</v>
      </c>
      <c r="C258" s="4" t="s">
        <v>14</v>
      </c>
      <c r="D258" s="4" t="s">
        <v>522</v>
      </c>
      <c r="E258" s="4" t="s">
        <v>523</v>
      </c>
      <c r="F258" s="4" t="s">
        <v>17</v>
      </c>
      <c r="G258" s="4" t="s">
        <v>18</v>
      </c>
      <c r="H258" s="3">
        <v>0.86667844900000002</v>
      </c>
      <c r="I258" s="4" t="s">
        <v>512</v>
      </c>
      <c r="J258" s="4" t="s">
        <v>513</v>
      </c>
      <c r="K258" s="3" t="s">
        <v>514</v>
      </c>
      <c r="L258" s="4" t="s">
        <v>515</v>
      </c>
      <c r="M258" s="4" t="s">
        <v>8</v>
      </c>
      <c r="N258" s="1"/>
    </row>
    <row r="259" spans="1:14" ht="15.75" thickBot="1">
      <c r="A259" s="3">
        <v>256</v>
      </c>
      <c r="B259" s="4" t="s">
        <v>67</v>
      </c>
      <c r="C259" s="4" t="s">
        <v>14</v>
      </c>
      <c r="D259" s="4" t="s">
        <v>522</v>
      </c>
      <c r="E259" s="4" t="s">
        <v>523</v>
      </c>
      <c r="F259" s="4" t="s">
        <v>17</v>
      </c>
      <c r="G259" s="4" t="s">
        <v>18</v>
      </c>
      <c r="H259" s="3">
        <v>0.78971185899999996</v>
      </c>
      <c r="I259" s="4" t="s">
        <v>516</v>
      </c>
      <c r="J259" s="4" t="s">
        <v>517</v>
      </c>
      <c r="K259" s="3" t="s">
        <v>518</v>
      </c>
      <c r="L259" s="4" t="s">
        <v>519</v>
      </c>
      <c r="M259" s="4" t="s">
        <v>8</v>
      </c>
      <c r="N259" s="1"/>
    </row>
    <row r="260" spans="1:14" ht="15.75" thickBot="1">
      <c r="A260" s="3">
        <v>257</v>
      </c>
      <c r="B260" s="4" t="s">
        <v>13</v>
      </c>
      <c r="C260" s="4" t="s">
        <v>14</v>
      </c>
      <c r="D260" s="4" t="s">
        <v>522</v>
      </c>
      <c r="E260" s="4" t="s">
        <v>523</v>
      </c>
      <c r="F260" s="4" t="s">
        <v>17</v>
      </c>
      <c r="G260" s="4" t="s">
        <v>18</v>
      </c>
      <c r="H260" s="3">
        <v>8.3464916E-2</v>
      </c>
      <c r="I260" s="4" t="s">
        <v>222</v>
      </c>
      <c r="J260" s="4" t="s">
        <v>223</v>
      </c>
      <c r="K260" s="3" t="s">
        <v>224</v>
      </c>
      <c r="L260" s="4" t="s">
        <v>225</v>
      </c>
      <c r="M260" s="4" t="s">
        <v>8</v>
      </c>
      <c r="N260" s="1"/>
    </row>
    <row r="261" spans="1:14" ht="15.75" thickBot="1">
      <c r="A261" s="3">
        <v>258</v>
      </c>
      <c r="B261" s="4" t="s">
        <v>13</v>
      </c>
      <c r="C261" s="4" t="s">
        <v>14</v>
      </c>
      <c r="D261" s="4" t="s">
        <v>522</v>
      </c>
      <c r="E261" s="4" t="s">
        <v>523</v>
      </c>
      <c r="F261" s="4" t="s">
        <v>17</v>
      </c>
      <c r="G261" s="4" t="s">
        <v>18</v>
      </c>
      <c r="H261" s="3">
        <v>8.4422709999999998E-2</v>
      </c>
      <c r="I261" s="4" t="s">
        <v>226</v>
      </c>
      <c r="J261" s="4" t="s">
        <v>227</v>
      </c>
      <c r="K261" s="3" t="s">
        <v>228</v>
      </c>
      <c r="L261" s="4" t="s">
        <v>229</v>
      </c>
      <c r="M261" s="4" t="s">
        <v>8</v>
      </c>
      <c r="N261" s="1"/>
    </row>
    <row r="262" spans="1:14" ht="15.75" thickBot="1">
      <c r="A262" s="3">
        <v>259</v>
      </c>
      <c r="B262" s="4" t="s">
        <v>13</v>
      </c>
      <c r="C262" s="4" t="s">
        <v>14</v>
      </c>
      <c r="D262" s="4" t="s">
        <v>522</v>
      </c>
      <c r="E262" s="4" t="s">
        <v>523</v>
      </c>
      <c r="F262" s="4" t="s">
        <v>17</v>
      </c>
      <c r="G262" s="4" t="s">
        <v>18</v>
      </c>
      <c r="H262" s="3">
        <v>5.7843923999999998E-2</v>
      </c>
      <c r="I262" s="4" t="s">
        <v>230</v>
      </c>
      <c r="J262" s="4" t="s">
        <v>231</v>
      </c>
      <c r="K262" s="3" t="s">
        <v>232</v>
      </c>
      <c r="L262" s="4" t="s">
        <v>233</v>
      </c>
      <c r="M262" s="4" t="s">
        <v>8</v>
      </c>
      <c r="N262" s="1"/>
    </row>
    <row r="263" spans="1:14" ht="15.75" thickBot="1">
      <c r="A263" s="3">
        <v>260</v>
      </c>
      <c r="B263" s="4" t="s">
        <v>28</v>
      </c>
      <c r="C263" s="4" t="s">
        <v>14</v>
      </c>
      <c r="D263" s="4" t="s">
        <v>524</v>
      </c>
      <c r="E263" s="4" t="s">
        <v>525</v>
      </c>
      <c r="F263" s="4" t="s">
        <v>17</v>
      </c>
      <c r="G263" s="4" t="s">
        <v>18</v>
      </c>
      <c r="H263" s="3">
        <v>6.6308441999999995E-2</v>
      </c>
      <c r="I263" s="4" t="s">
        <v>237</v>
      </c>
      <c r="J263" s="4" t="s">
        <v>238</v>
      </c>
      <c r="K263" s="3" t="s">
        <v>239</v>
      </c>
      <c r="L263" s="4" t="s">
        <v>240</v>
      </c>
      <c r="M263" s="4" t="s">
        <v>8</v>
      </c>
      <c r="N263" s="1"/>
    </row>
    <row r="264" spans="1:14" ht="15.75" thickBot="1">
      <c r="A264" s="3">
        <v>261</v>
      </c>
      <c r="B264" s="4" t="s">
        <v>28</v>
      </c>
      <c r="C264" s="4" t="s">
        <v>14</v>
      </c>
      <c r="D264" s="4" t="s">
        <v>524</v>
      </c>
      <c r="E264" s="4" t="s">
        <v>525</v>
      </c>
      <c r="F264" s="4" t="s">
        <v>17</v>
      </c>
      <c r="G264" s="4" t="s">
        <v>18</v>
      </c>
      <c r="H264" s="3">
        <v>0.111808676</v>
      </c>
      <c r="I264" s="4" t="s">
        <v>241</v>
      </c>
      <c r="J264" s="4" t="s">
        <v>242</v>
      </c>
      <c r="K264" s="3" t="s">
        <v>243</v>
      </c>
      <c r="L264" s="4" t="s">
        <v>244</v>
      </c>
      <c r="M264" s="4" t="s">
        <v>8</v>
      </c>
      <c r="N264" s="1"/>
    </row>
    <row r="265" spans="1:14" ht="15.75" thickBot="1">
      <c r="A265" s="3">
        <v>262</v>
      </c>
      <c r="B265" s="4" t="s">
        <v>28</v>
      </c>
      <c r="C265" s="4" t="s">
        <v>14</v>
      </c>
      <c r="D265" s="4" t="s">
        <v>524</v>
      </c>
      <c r="E265" s="4" t="s">
        <v>525</v>
      </c>
      <c r="F265" s="4" t="s">
        <v>17</v>
      </c>
      <c r="G265" s="4" t="s">
        <v>18</v>
      </c>
      <c r="H265" s="3">
        <v>6.9329335000000006E-2</v>
      </c>
      <c r="I265" s="4" t="s">
        <v>443</v>
      </c>
      <c r="J265" s="4" t="s">
        <v>444</v>
      </c>
      <c r="K265" s="3" t="s">
        <v>526</v>
      </c>
      <c r="L265" s="4" t="s">
        <v>446</v>
      </c>
      <c r="M265" s="4" t="s">
        <v>8</v>
      </c>
      <c r="N265" s="1"/>
    </row>
    <row r="266" spans="1:14" ht="23.25" thickBot="1">
      <c r="A266" s="3">
        <v>263</v>
      </c>
      <c r="B266" s="4" t="s">
        <v>28</v>
      </c>
      <c r="C266" s="4" t="s">
        <v>14</v>
      </c>
      <c r="D266" s="4" t="s">
        <v>524</v>
      </c>
      <c r="E266" s="4" t="s">
        <v>525</v>
      </c>
      <c r="F266" s="4" t="s">
        <v>17</v>
      </c>
      <c r="G266" s="4" t="s">
        <v>18</v>
      </c>
      <c r="H266" s="3">
        <v>8.9728158000000002E-2</v>
      </c>
      <c r="I266" s="4" t="s">
        <v>447</v>
      </c>
      <c r="J266" s="4" t="s">
        <v>448</v>
      </c>
      <c r="K266" s="3" t="s">
        <v>527</v>
      </c>
      <c r="L266" s="4" t="s">
        <v>450</v>
      </c>
      <c r="M266" s="4" t="s">
        <v>8</v>
      </c>
      <c r="N266" s="1"/>
    </row>
    <row r="267" spans="1:14" ht="15.75" thickBot="1">
      <c r="A267" s="3">
        <v>264</v>
      </c>
      <c r="B267" s="4" t="s">
        <v>28</v>
      </c>
      <c r="C267" s="4" t="s">
        <v>14</v>
      </c>
      <c r="D267" s="4" t="s">
        <v>524</v>
      </c>
      <c r="E267" s="4" t="s">
        <v>525</v>
      </c>
      <c r="F267" s="4" t="s">
        <v>17</v>
      </c>
      <c r="G267" s="4" t="s">
        <v>18</v>
      </c>
      <c r="H267" s="3">
        <v>2.4991151E-2</v>
      </c>
      <c r="I267" s="4" t="s">
        <v>451</v>
      </c>
      <c r="J267" s="4" t="s">
        <v>452</v>
      </c>
      <c r="K267" s="3" t="s">
        <v>453</v>
      </c>
      <c r="L267" s="4" t="s">
        <v>454</v>
      </c>
      <c r="M267" s="4" t="s">
        <v>8</v>
      </c>
      <c r="N267" s="1"/>
    </row>
    <row r="268" spans="1:14" ht="15.75" thickBot="1">
      <c r="A268" s="3">
        <v>265</v>
      </c>
      <c r="B268" s="4" t="s">
        <v>44</v>
      </c>
      <c r="C268" s="4" t="s">
        <v>14</v>
      </c>
      <c r="D268" s="4" t="s">
        <v>524</v>
      </c>
      <c r="E268" s="4" t="s">
        <v>525</v>
      </c>
      <c r="F268" s="4" t="s">
        <v>17</v>
      </c>
      <c r="G268" s="4" t="s">
        <v>18</v>
      </c>
      <c r="H268" s="3">
        <v>3.9508833E-2</v>
      </c>
      <c r="I268" s="4" t="s">
        <v>455</v>
      </c>
      <c r="J268" s="4" t="s">
        <v>456</v>
      </c>
      <c r="K268" s="3" t="s">
        <v>189</v>
      </c>
      <c r="L268" s="4" t="s">
        <v>457</v>
      </c>
      <c r="M268" s="4" t="s">
        <v>8</v>
      </c>
      <c r="N268" s="1"/>
    </row>
    <row r="269" spans="1:14" ht="15.75" thickBot="1">
      <c r="A269" s="3">
        <v>266</v>
      </c>
      <c r="B269" s="4" t="s">
        <v>28</v>
      </c>
      <c r="C269" s="4" t="s">
        <v>14</v>
      </c>
      <c r="D269" s="4" t="s">
        <v>524</v>
      </c>
      <c r="E269" s="4" t="s">
        <v>525</v>
      </c>
      <c r="F269" s="4" t="s">
        <v>17</v>
      </c>
      <c r="G269" s="4" t="s">
        <v>18</v>
      </c>
      <c r="H269" s="3">
        <v>2.4717092999999999E-2</v>
      </c>
      <c r="I269" s="4" t="s">
        <v>458</v>
      </c>
      <c r="J269" s="4" t="s">
        <v>459</v>
      </c>
      <c r="K269" s="3" t="s">
        <v>460</v>
      </c>
      <c r="L269" s="4" t="s">
        <v>461</v>
      </c>
      <c r="M269" s="4" t="s">
        <v>8</v>
      </c>
      <c r="N269" s="1"/>
    </row>
    <row r="270" spans="1:14" ht="15.75" thickBot="1">
      <c r="A270" s="3">
        <v>267</v>
      </c>
      <c r="B270" s="4" t="s">
        <v>319</v>
      </c>
      <c r="C270" s="4" t="s">
        <v>14</v>
      </c>
      <c r="D270" s="4" t="s">
        <v>524</v>
      </c>
      <c r="E270" s="4" t="s">
        <v>525</v>
      </c>
      <c r="F270" s="4" t="s">
        <v>17</v>
      </c>
      <c r="G270" s="4" t="s">
        <v>18</v>
      </c>
      <c r="H270" s="3">
        <v>4.8145369999999998E-3</v>
      </c>
      <c r="I270" s="4" t="s">
        <v>462</v>
      </c>
      <c r="J270" s="4" t="s">
        <v>463</v>
      </c>
      <c r="K270" s="3" t="s">
        <v>464</v>
      </c>
      <c r="L270" s="4" t="s">
        <v>465</v>
      </c>
      <c r="M270" s="4" t="s">
        <v>8</v>
      </c>
      <c r="N270" s="1"/>
    </row>
    <row r="271" spans="1:14" ht="15.75" thickBot="1">
      <c r="A271" s="3">
        <v>268</v>
      </c>
      <c r="B271" s="4" t="s">
        <v>28</v>
      </c>
      <c r="C271" s="4" t="s">
        <v>14</v>
      </c>
      <c r="D271" s="4" t="s">
        <v>524</v>
      </c>
      <c r="E271" s="4" t="s">
        <v>525</v>
      </c>
      <c r="F271" s="4" t="s">
        <v>17</v>
      </c>
      <c r="G271" s="4" t="s">
        <v>18</v>
      </c>
      <c r="H271" s="3">
        <v>2.6813269999999998E-3</v>
      </c>
      <c r="I271" s="4" t="s">
        <v>466</v>
      </c>
      <c r="J271" s="4" t="s">
        <v>467</v>
      </c>
      <c r="K271" s="3" t="s">
        <v>468</v>
      </c>
      <c r="L271" s="4" t="s">
        <v>469</v>
      </c>
      <c r="M271" s="4" t="s">
        <v>8</v>
      </c>
      <c r="N271" s="1"/>
    </row>
    <row r="272" spans="1:14" ht="15.75" thickBot="1">
      <c r="A272" s="3">
        <v>269</v>
      </c>
      <c r="B272" s="4" t="s">
        <v>28</v>
      </c>
      <c r="C272" s="4" t="s">
        <v>14</v>
      </c>
      <c r="D272" s="4" t="s">
        <v>524</v>
      </c>
      <c r="E272" s="4" t="s">
        <v>525</v>
      </c>
      <c r="F272" s="4" t="s">
        <v>17</v>
      </c>
      <c r="G272" s="4" t="s">
        <v>18</v>
      </c>
      <c r="H272" s="3">
        <v>5.1404440000000001E-3</v>
      </c>
      <c r="I272" s="4" t="s">
        <v>470</v>
      </c>
      <c r="J272" s="4" t="s">
        <v>471</v>
      </c>
      <c r="K272" s="3" t="s">
        <v>472</v>
      </c>
      <c r="L272" s="4" t="s">
        <v>473</v>
      </c>
      <c r="M272" s="4" t="s">
        <v>8</v>
      </c>
      <c r="N272" s="1"/>
    </row>
    <row r="273" spans="1:14" ht="15.75" thickBot="1">
      <c r="A273" s="3">
        <v>270</v>
      </c>
      <c r="B273" s="4" t="s">
        <v>28</v>
      </c>
      <c r="C273" s="4" t="s">
        <v>14</v>
      </c>
      <c r="D273" s="4" t="s">
        <v>524</v>
      </c>
      <c r="E273" s="4" t="s">
        <v>525</v>
      </c>
      <c r="F273" s="4" t="s">
        <v>17</v>
      </c>
      <c r="G273" s="4" t="s">
        <v>18</v>
      </c>
      <c r="H273" s="3">
        <v>2.6665130000000001E-3</v>
      </c>
      <c r="I273" s="4" t="s">
        <v>474</v>
      </c>
      <c r="J273" s="4" t="s">
        <v>475</v>
      </c>
      <c r="K273" s="3" t="s">
        <v>476</v>
      </c>
      <c r="L273" s="4" t="s">
        <v>477</v>
      </c>
      <c r="M273" s="4" t="s">
        <v>8</v>
      </c>
      <c r="N273" s="1"/>
    </row>
    <row r="274" spans="1:14" ht="15.75" thickBot="1">
      <c r="A274" s="3">
        <v>271</v>
      </c>
      <c r="B274" s="4" t="s">
        <v>44</v>
      </c>
      <c r="C274" s="4" t="s">
        <v>14</v>
      </c>
      <c r="D274" s="4" t="s">
        <v>524</v>
      </c>
      <c r="E274" s="4" t="s">
        <v>525</v>
      </c>
      <c r="F274" s="4" t="s">
        <v>17</v>
      </c>
      <c r="G274" s="4" t="s">
        <v>18</v>
      </c>
      <c r="H274" s="3">
        <v>3.7862631000000001E-2</v>
      </c>
      <c r="I274" s="4" t="s">
        <v>478</v>
      </c>
      <c r="J274" s="4" t="s">
        <v>479</v>
      </c>
      <c r="K274" s="3" t="s">
        <v>480</v>
      </c>
      <c r="L274" s="4" t="s">
        <v>481</v>
      </c>
      <c r="M274" s="4" t="s">
        <v>8</v>
      </c>
      <c r="N274" s="1"/>
    </row>
    <row r="275" spans="1:14" ht="15.75" thickBot="1">
      <c r="A275" s="3">
        <v>272</v>
      </c>
      <c r="B275" s="4" t="s">
        <v>114</v>
      </c>
      <c r="C275" s="4" t="s">
        <v>14</v>
      </c>
      <c r="D275" s="4" t="s">
        <v>524</v>
      </c>
      <c r="E275" s="4" t="s">
        <v>525</v>
      </c>
      <c r="F275" s="4" t="s">
        <v>17</v>
      </c>
      <c r="G275" s="4" t="s">
        <v>18</v>
      </c>
      <c r="H275" s="3">
        <v>5.5981955999999999E-2</v>
      </c>
      <c r="I275" s="4" t="s">
        <v>482</v>
      </c>
      <c r="J275" s="4" t="s">
        <v>483</v>
      </c>
      <c r="K275" s="3" t="s">
        <v>528</v>
      </c>
      <c r="L275" s="4" t="s">
        <v>485</v>
      </c>
      <c r="M275" s="4" t="s">
        <v>8</v>
      </c>
      <c r="N275" s="1"/>
    </row>
    <row r="276" spans="1:14" ht="15.75" thickBot="1">
      <c r="A276" s="3">
        <v>273</v>
      </c>
      <c r="B276" s="4" t="s">
        <v>44</v>
      </c>
      <c r="C276" s="4" t="s">
        <v>14</v>
      </c>
      <c r="D276" s="4" t="s">
        <v>524</v>
      </c>
      <c r="E276" s="4" t="s">
        <v>525</v>
      </c>
      <c r="F276" s="4" t="s">
        <v>17</v>
      </c>
      <c r="G276" s="4" t="s">
        <v>18</v>
      </c>
      <c r="H276" s="3">
        <v>7.5764116000000006E-2</v>
      </c>
      <c r="I276" s="4" t="s">
        <v>486</v>
      </c>
      <c r="J276" s="4" t="s">
        <v>487</v>
      </c>
      <c r="K276" s="3" t="s">
        <v>488</v>
      </c>
      <c r="L276" s="4" t="s">
        <v>489</v>
      </c>
      <c r="M276" s="4" t="s">
        <v>8</v>
      </c>
      <c r="N276" s="1"/>
    </row>
    <row r="277" spans="1:14" ht="15.75" thickBot="1">
      <c r="A277" s="3">
        <v>274</v>
      </c>
      <c r="B277" s="4" t="s">
        <v>114</v>
      </c>
      <c r="C277" s="4" t="s">
        <v>14</v>
      </c>
      <c r="D277" s="4" t="s">
        <v>524</v>
      </c>
      <c r="E277" s="4" t="s">
        <v>525</v>
      </c>
      <c r="F277" s="4" t="s">
        <v>17</v>
      </c>
      <c r="G277" s="4" t="s">
        <v>18</v>
      </c>
      <c r="H277" s="3">
        <v>0.100216442</v>
      </c>
      <c r="I277" s="4" t="s">
        <v>490</v>
      </c>
      <c r="J277" s="4" t="s">
        <v>491</v>
      </c>
      <c r="K277" s="3" t="s">
        <v>492</v>
      </c>
      <c r="L277" s="4" t="s">
        <v>493</v>
      </c>
      <c r="M277" s="4" t="s">
        <v>8</v>
      </c>
      <c r="N277" s="1"/>
    </row>
    <row r="278" spans="1:14" ht="15.75" thickBot="1">
      <c r="A278" s="3">
        <v>275</v>
      </c>
      <c r="B278" s="4" t="s">
        <v>114</v>
      </c>
      <c r="C278" s="4" t="s">
        <v>14</v>
      </c>
      <c r="D278" s="4" t="s">
        <v>524</v>
      </c>
      <c r="E278" s="4" t="s">
        <v>525</v>
      </c>
      <c r="F278" s="4" t="s">
        <v>17</v>
      </c>
      <c r="G278" s="4" t="s">
        <v>18</v>
      </c>
      <c r="H278" s="3">
        <v>7.3372838999999995E-2</v>
      </c>
      <c r="I278" s="4" t="s">
        <v>494</v>
      </c>
      <c r="J278" s="4" t="s">
        <v>495</v>
      </c>
      <c r="K278" s="3" t="s">
        <v>496</v>
      </c>
      <c r="L278" s="4" t="s">
        <v>497</v>
      </c>
      <c r="M278" s="4" t="s">
        <v>8</v>
      </c>
      <c r="N278" s="1"/>
    </row>
    <row r="279" spans="1:14" ht="15.75" thickBot="1">
      <c r="A279" s="3">
        <v>276</v>
      </c>
      <c r="B279" s="4" t="s">
        <v>13</v>
      </c>
      <c r="C279" s="4" t="s">
        <v>14</v>
      </c>
      <c r="D279" s="4" t="s">
        <v>524</v>
      </c>
      <c r="E279" s="4" t="s">
        <v>525</v>
      </c>
      <c r="F279" s="4" t="s">
        <v>17</v>
      </c>
      <c r="G279" s="4" t="s">
        <v>18</v>
      </c>
      <c r="H279" s="3">
        <v>2.1140611850000002</v>
      </c>
      <c r="I279" s="4" t="s">
        <v>266</v>
      </c>
      <c r="J279" s="4" t="s">
        <v>267</v>
      </c>
      <c r="K279" s="3" t="s">
        <v>268</v>
      </c>
      <c r="L279" s="4" t="s">
        <v>269</v>
      </c>
      <c r="M279" s="4" t="s">
        <v>8</v>
      </c>
      <c r="N279" s="1"/>
    </row>
    <row r="280" spans="1:14" ht="15.75" thickBot="1">
      <c r="A280" s="3">
        <v>277</v>
      </c>
      <c r="B280" s="4" t="s">
        <v>28</v>
      </c>
      <c r="C280" s="4" t="s">
        <v>14</v>
      </c>
      <c r="D280" s="4" t="s">
        <v>524</v>
      </c>
      <c r="E280" s="4" t="s">
        <v>525</v>
      </c>
      <c r="F280" s="4" t="s">
        <v>17</v>
      </c>
      <c r="G280" s="4" t="s">
        <v>18</v>
      </c>
      <c r="H280" s="3">
        <v>0.176288537</v>
      </c>
      <c r="I280" s="4" t="s">
        <v>498</v>
      </c>
      <c r="J280" s="4" t="s">
        <v>499</v>
      </c>
      <c r="K280" s="3" t="s">
        <v>529</v>
      </c>
      <c r="L280" s="4" t="s">
        <v>501</v>
      </c>
      <c r="M280" s="4" t="s">
        <v>8</v>
      </c>
      <c r="N280" s="1"/>
    </row>
    <row r="281" spans="1:14" ht="15.75" thickBot="1">
      <c r="A281" s="3">
        <v>278</v>
      </c>
      <c r="B281" s="4" t="s">
        <v>67</v>
      </c>
      <c r="C281" s="4" t="s">
        <v>14</v>
      </c>
      <c r="D281" s="4" t="s">
        <v>524</v>
      </c>
      <c r="E281" s="4" t="s">
        <v>525</v>
      </c>
      <c r="F281" s="4" t="s">
        <v>17</v>
      </c>
      <c r="G281" s="4" t="s">
        <v>18</v>
      </c>
      <c r="H281" s="3">
        <v>8.9757786000000006E-2</v>
      </c>
      <c r="I281" s="4" t="s">
        <v>502</v>
      </c>
      <c r="J281" s="4" t="s">
        <v>503</v>
      </c>
      <c r="K281" s="3" t="s">
        <v>530</v>
      </c>
      <c r="L281" s="4" t="s">
        <v>505</v>
      </c>
      <c r="M281" s="4" t="s">
        <v>8</v>
      </c>
      <c r="N281" s="1"/>
    </row>
    <row r="282" spans="1:14" ht="15.75" thickBot="1">
      <c r="A282" s="2"/>
      <c r="B282" s="2"/>
      <c r="C282" s="2"/>
      <c r="D282" s="2"/>
      <c r="E282" s="2"/>
      <c r="F282" s="2"/>
      <c r="G282" s="2"/>
      <c r="H282" s="2">
        <v>829.73900000100002</v>
      </c>
      <c r="I282" s="2"/>
      <c r="J282" s="2"/>
      <c r="K282" s="2" t="s">
        <v>531</v>
      </c>
      <c r="L282" s="2"/>
      <c r="M282" s="2"/>
      <c r="N282" s="1"/>
    </row>
  </sheetData>
  <autoFilter ref="A3:M282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B1:P282"/>
  <sheetViews>
    <sheetView zoomScale="110" zoomScaleNormal="110" workbookViewId="0">
      <pane xSplit="6" ySplit="3" topLeftCell="I4" activePane="bottomRight" state="frozen"/>
      <selection pane="topRight" activeCell="B1" sqref="B1"/>
      <selection pane="bottomLeft" activeCell="A4" sqref="A4"/>
      <selection pane="bottomRight" activeCell="N291" sqref="N291"/>
    </sheetView>
  </sheetViews>
  <sheetFormatPr defaultRowHeight="15" outlineLevelCol="1"/>
  <cols>
    <col min="2" max="2" width="71.85546875" hidden="1" customWidth="1" outlineLevel="1"/>
    <col min="3" max="3" width="22.28515625" hidden="1" customWidth="1" outlineLevel="1"/>
    <col min="4" max="4" width="7.140625" hidden="1" customWidth="1" outlineLevel="1"/>
    <col min="5" max="5" width="23.42578125" hidden="1" customWidth="1" outlineLevel="1"/>
    <col min="6" max="6" width="3.5703125" hidden="1" customWidth="1" outlineLevel="1"/>
    <col min="7" max="7" width="47.42578125" hidden="1" customWidth="1" outlineLevel="1"/>
    <col min="8" max="8" width="5.28515625" hidden="1" customWidth="1" outlineLevel="1"/>
    <col min="9" max="9" width="5.28515625" customWidth="1" collapsed="1"/>
    <col min="10" max="10" width="11.85546875" bestFit="1" customWidth="1"/>
    <col min="11" max="11" width="50.85546875" customWidth="1"/>
    <col min="12" max="12" width="11.140625" bestFit="1" customWidth="1"/>
    <col min="13" max="13" width="59.7109375" bestFit="1" customWidth="1"/>
    <col min="14" max="14" width="15" bestFit="1" customWidth="1"/>
    <col min="15" max="15" width="15.28515625" bestFit="1" customWidth="1"/>
  </cols>
  <sheetData>
    <row r="1" spans="2:16" ht="15.75" thickBot="1">
      <c r="B1" s="1"/>
      <c r="C1" s="1"/>
      <c r="D1" s="1"/>
      <c r="E1" s="1"/>
      <c r="F1" s="1"/>
      <c r="G1" s="1"/>
      <c r="H1" s="1"/>
      <c r="I1" s="5"/>
      <c r="J1" s="1"/>
      <c r="K1" s="1"/>
      <c r="L1" s="1"/>
      <c r="M1" s="1"/>
      <c r="N1" s="1">
        <f>SUM(N4:N281)</f>
        <v>829.73900000100093</v>
      </c>
      <c r="O1" s="1"/>
    </row>
    <row r="2" spans="2:16" ht="15.75" thickBot="1">
      <c r="B2" s="2" t="s">
        <v>11</v>
      </c>
      <c r="C2" s="2" t="s">
        <v>12</v>
      </c>
      <c r="D2" s="2" t="s">
        <v>6</v>
      </c>
      <c r="E2" s="2" t="s">
        <v>5</v>
      </c>
      <c r="F2" s="2" t="s">
        <v>0</v>
      </c>
      <c r="G2" s="2" t="s">
        <v>1</v>
      </c>
      <c r="H2" s="2" t="s">
        <v>2</v>
      </c>
      <c r="I2" s="2"/>
      <c r="J2" s="2" t="s">
        <v>4</v>
      </c>
      <c r="K2" s="2" t="s">
        <v>3</v>
      </c>
      <c r="L2" s="2" t="s">
        <v>9</v>
      </c>
      <c r="M2" s="2" t="s">
        <v>8</v>
      </c>
      <c r="N2" s="2" t="s">
        <v>7</v>
      </c>
      <c r="O2" s="2" t="s">
        <v>10</v>
      </c>
      <c r="P2" s="1"/>
    </row>
    <row r="3" spans="2:16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</row>
    <row r="4" spans="2:16" ht="15.75" hidden="1" thickBot="1">
      <c r="B4" s="4" t="s">
        <v>22</v>
      </c>
      <c r="C4" s="4" t="s">
        <v>8</v>
      </c>
      <c r="D4" s="4" t="s">
        <v>18</v>
      </c>
      <c r="E4" s="4" t="s">
        <v>17</v>
      </c>
      <c r="F4" s="3">
        <v>1</v>
      </c>
      <c r="G4" s="4" t="s">
        <v>13</v>
      </c>
      <c r="H4" s="4" t="s">
        <v>14</v>
      </c>
      <c r="I4" s="4"/>
      <c r="J4" s="4" t="s">
        <v>16</v>
      </c>
      <c r="K4" s="4" t="s">
        <v>15</v>
      </c>
      <c r="L4" s="4" t="s">
        <v>20</v>
      </c>
      <c r="M4" s="4" t="s">
        <v>19</v>
      </c>
      <c r="N4" s="3">
        <v>0.19236663200000001</v>
      </c>
      <c r="O4" s="3" t="s">
        <v>21</v>
      </c>
      <c r="P4" s="1"/>
    </row>
    <row r="5" spans="2:16" ht="15.75" hidden="1" thickBot="1">
      <c r="B5" s="4" t="s">
        <v>27</v>
      </c>
      <c r="C5" s="4" t="s">
        <v>8</v>
      </c>
      <c r="D5" s="4" t="s">
        <v>18</v>
      </c>
      <c r="E5" s="4" t="s">
        <v>17</v>
      </c>
      <c r="F5" s="3">
        <v>2</v>
      </c>
      <c r="G5" s="4" t="s">
        <v>23</v>
      </c>
      <c r="H5" s="4" t="s">
        <v>14</v>
      </c>
      <c r="I5" s="4"/>
      <c r="J5" s="4" t="s">
        <v>16</v>
      </c>
      <c r="K5" s="4" t="s">
        <v>15</v>
      </c>
      <c r="L5" s="4" t="s">
        <v>25</v>
      </c>
      <c r="M5" s="4" t="s">
        <v>24</v>
      </c>
      <c r="N5" s="3">
        <v>9.1128218999999996E-2</v>
      </c>
      <c r="O5" s="3" t="s">
        <v>26</v>
      </c>
      <c r="P5" s="1"/>
    </row>
    <row r="6" spans="2:16" ht="15.75" thickBot="1">
      <c r="B6" s="4" t="s">
        <v>32</v>
      </c>
      <c r="C6" s="4" t="s">
        <v>8</v>
      </c>
      <c r="D6" s="4" t="s">
        <v>18</v>
      </c>
      <c r="E6" s="4" t="s">
        <v>17</v>
      </c>
      <c r="F6" s="3">
        <v>3</v>
      </c>
      <c r="G6" s="4" t="s">
        <v>28</v>
      </c>
      <c r="H6" s="4" t="s">
        <v>14</v>
      </c>
      <c r="I6" s="4"/>
      <c r="J6" s="4" t="s">
        <v>16</v>
      </c>
      <c r="K6" s="4" t="s">
        <v>15</v>
      </c>
      <c r="L6" s="4" t="s">
        <v>30</v>
      </c>
      <c r="M6" s="4" t="s">
        <v>29</v>
      </c>
      <c r="N6" s="3">
        <v>5.8363626579999996</v>
      </c>
      <c r="O6" s="3" t="s">
        <v>31</v>
      </c>
      <c r="P6" s="1"/>
    </row>
    <row r="7" spans="2:16" ht="15.75" thickBot="1">
      <c r="B7" s="4" t="s">
        <v>36</v>
      </c>
      <c r="C7" s="4" t="s">
        <v>8</v>
      </c>
      <c r="D7" s="4" t="s">
        <v>18</v>
      </c>
      <c r="E7" s="4" t="s">
        <v>17</v>
      </c>
      <c r="F7" s="3">
        <v>4</v>
      </c>
      <c r="G7" s="4" t="s">
        <v>13</v>
      </c>
      <c r="H7" s="4" t="s">
        <v>14</v>
      </c>
      <c r="I7" s="4"/>
      <c r="J7" s="4" t="s">
        <v>16</v>
      </c>
      <c r="K7" s="4" t="s">
        <v>15</v>
      </c>
      <c r="L7" s="4" t="s">
        <v>34</v>
      </c>
      <c r="M7" s="4" t="s">
        <v>33</v>
      </c>
      <c r="N7" s="3">
        <v>0.61443497199999997</v>
      </c>
      <c r="O7" s="3" t="s">
        <v>35</v>
      </c>
      <c r="P7" s="1"/>
    </row>
    <row r="8" spans="2:16" ht="15.75" thickBot="1">
      <c r="B8" s="4" t="s">
        <v>40</v>
      </c>
      <c r="C8" s="4" t="s">
        <v>8</v>
      </c>
      <c r="D8" s="4" t="s">
        <v>18</v>
      </c>
      <c r="E8" s="4" t="s">
        <v>17</v>
      </c>
      <c r="F8" s="3">
        <v>5</v>
      </c>
      <c r="G8" s="4" t="s">
        <v>13</v>
      </c>
      <c r="H8" s="4" t="s">
        <v>14</v>
      </c>
      <c r="I8" s="4"/>
      <c r="J8" s="4" t="s">
        <v>16</v>
      </c>
      <c r="K8" s="4" t="s">
        <v>15</v>
      </c>
      <c r="L8" s="4" t="s">
        <v>38</v>
      </c>
      <c r="M8" s="4" t="s">
        <v>37</v>
      </c>
      <c r="N8" s="3">
        <v>0.20014584599999999</v>
      </c>
      <c r="O8" s="3" t="s">
        <v>39</v>
      </c>
      <c r="P8" s="1"/>
    </row>
    <row r="9" spans="2:16" ht="15.75" thickBot="1">
      <c r="B9" s="4" t="s">
        <v>41</v>
      </c>
      <c r="C9" s="4" t="s">
        <v>8</v>
      </c>
      <c r="D9" s="4" t="s">
        <v>18</v>
      </c>
      <c r="E9" s="4" t="s">
        <v>17</v>
      </c>
      <c r="F9" s="3">
        <v>6</v>
      </c>
      <c r="G9" s="4" t="s">
        <v>13</v>
      </c>
      <c r="H9" s="4" t="s">
        <v>14</v>
      </c>
      <c r="I9" s="4"/>
      <c r="J9" s="4" t="s">
        <v>16</v>
      </c>
      <c r="K9" s="4" t="s">
        <v>15</v>
      </c>
      <c r="L9" s="4" t="s">
        <v>42</v>
      </c>
      <c r="M9" s="4" t="s">
        <v>41</v>
      </c>
      <c r="N9" s="3">
        <v>2.7124298000000002E-2</v>
      </c>
      <c r="O9" s="3" t="s">
        <v>43</v>
      </c>
      <c r="P9" s="1"/>
    </row>
    <row r="10" spans="2:16" ht="15.75" hidden="1" thickBot="1">
      <c r="B10" s="4" t="s">
        <v>48</v>
      </c>
      <c r="C10" s="4" t="s">
        <v>8</v>
      </c>
      <c r="D10" s="4" t="s">
        <v>18</v>
      </c>
      <c r="E10" s="4" t="s">
        <v>17</v>
      </c>
      <c r="F10" s="3">
        <v>7</v>
      </c>
      <c r="G10" s="4" t="s">
        <v>44</v>
      </c>
      <c r="H10" s="4" t="s">
        <v>14</v>
      </c>
      <c r="I10" s="4"/>
      <c r="J10" s="4" t="s">
        <v>16</v>
      </c>
      <c r="K10" s="4" t="s">
        <v>15</v>
      </c>
      <c r="L10" s="4" t="s">
        <v>46</v>
      </c>
      <c r="M10" s="4" t="s">
        <v>45</v>
      </c>
      <c r="N10" s="3">
        <v>0.11022127600000001</v>
      </c>
      <c r="O10" s="3" t="s">
        <v>47</v>
      </c>
      <c r="P10" s="1"/>
    </row>
    <row r="11" spans="2:16" ht="15.75" hidden="1" thickBot="1">
      <c r="B11" s="4" t="s">
        <v>52</v>
      </c>
      <c r="C11" s="4" t="s">
        <v>8</v>
      </c>
      <c r="D11" s="4" t="s">
        <v>18</v>
      </c>
      <c r="E11" s="4" t="s">
        <v>17</v>
      </c>
      <c r="F11" s="3">
        <v>8</v>
      </c>
      <c r="G11" s="4" t="s">
        <v>28</v>
      </c>
      <c r="H11" s="4" t="s">
        <v>14</v>
      </c>
      <c r="I11" s="4"/>
      <c r="J11" s="4" t="s">
        <v>16</v>
      </c>
      <c r="K11" s="4" t="s">
        <v>15</v>
      </c>
      <c r="L11" s="4" t="s">
        <v>50</v>
      </c>
      <c r="M11" s="4" t="s">
        <v>49</v>
      </c>
      <c r="N11" s="3">
        <v>5.4371177E-2</v>
      </c>
      <c r="O11" s="3" t="s">
        <v>51</v>
      </c>
      <c r="P11" s="1"/>
    </row>
    <row r="12" spans="2:16" ht="15.75" hidden="1" thickBot="1">
      <c r="B12" s="4" t="s">
        <v>56</v>
      </c>
      <c r="C12" s="4" t="s">
        <v>8</v>
      </c>
      <c r="D12" s="4" t="s">
        <v>18</v>
      </c>
      <c r="E12" s="4" t="s">
        <v>17</v>
      </c>
      <c r="F12" s="3">
        <v>9</v>
      </c>
      <c r="G12" s="4" t="s">
        <v>28</v>
      </c>
      <c r="H12" s="4" t="s">
        <v>14</v>
      </c>
      <c r="I12" s="4"/>
      <c r="J12" s="4" t="s">
        <v>16</v>
      </c>
      <c r="K12" s="4" t="s">
        <v>15</v>
      </c>
      <c r="L12" s="4" t="s">
        <v>54</v>
      </c>
      <c r="M12" s="4" t="s">
        <v>53</v>
      </c>
      <c r="N12" s="3">
        <v>0.18115971</v>
      </c>
      <c r="O12" s="3" t="s">
        <v>55</v>
      </c>
      <c r="P12" s="1"/>
    </row>
    <row r="13" spans="2:16" ht="15.75" hidden="1" thickBot="1">
      <c r="B13" s="4" t="s">
        <v>60</v>
      </c>
      <c r="C13" s="4" t="s">
        <v>8</v>
      </c>
      <c r="D13" s="4" t="s">
        <v>18</v>
      </c>
      <c r="E13" s="4" t="s">
        <v>17</v>
      </c>
      <c r="F13" s="3">
        <v>10</v>
      </c>
      <c r="G13" s="4" t="s">
        <v>28</v>
      </c>
      <c r="H13" s="4" t="s">
        <v>14</v>
      </c>
      <c r="I13" s="4"/>
      <c r="J13" s="4" t="s">
        <v>16</v>
      </c>
      <c r="K13" s="4" t="s">
        <v>15</v>
      </c>
      <c r="L13" s="4" t="s">
        <v>58</v>
      </c>
      <c r="M13" s="4" t="s">
        <v>57</v>
      </c>
      <c r="N13" s="3">
        <v>1.094685211</v>
      </c>
      <c r="O13" s="3" t="s">
        <v>59</v>
      </c>
      <c r="P13" s="1"/>
    </row>
    <row r="14" spans="2:16" ht="23.25" hidden="1" thickBot="1">
      <c r="B14" s="4" t="s">
        <v>66</v>
      </c>
      <c r="C14" s="4" t="s">
        <v>8</v>
      </c>
      <c r="D14" s="4" t="s">
        <v>18</v>
      </c>
      <c r="E14" s="4" t="s">
        <v>17</v>
      </c>
      <c r="F14" s="3">
        <v>11</v>
      </c>
      <c r="G14" s="4" t="s">
        <v>13</v>
      </c>
      <c r="H14" s="4" t="s">
        <v>14</v>
      </c>
      <c r="I14" s="4"/>
      <c r="J14" s="4" t="s">
        <v>62</v>
      </c>
      <c r="K14" s="4" t="s">
        <v>61</v>
      </c>
      <c r="L14" s="4" t="s">
        <v>64</v>
      </c>
      <c r="M14" s="4" t="s">
        <v>63</v>
      </c>
      <c r="N14" s="3">
        <v>0.40772456099999999</v>
      </c>
      <c r="O14" s="3" t="s">
        <v>65</v>
      </c>
      <c r="P14" s="1"/>
    </row>
    <row r="15" spans="2:16" ht="23.25" hidden="1" thickBot="1">
      <c r="B15" s="4" t="s">
        <v>71</v>
      </c>
      <c r="C15" s="4" t="s">
        <v>8</v>
      </c>
      <c r="D15" s="4" t="s">
        <v>18</v>
      </c>
      <c r="E15" s="4" t="s">
        <v>17</v>
      </c>
      <c r="F15" s="3">
        <v>12</v>
      </c>
      <c r="G15" s="4" t="s">
        <v>67</v>
      </c>
      <c r="H15" s="4" t="s">
        <v>14</v>
      </c>
      <c r="I15" s="4"/>
      <c r="J15" s="4" t="s">
        <v>62</v>
      </c>
      <c r="K15" s="4" t="s">
        <v>61</v>
      </c>
      <c r="L15" s="4" t="s">
        <v>69</v>
      </c>
      <c r="M15" s="4" t="s">
        <v>68</v>
      </c>
      <c r="N15" s="3">
        <v>0.15960364799999999</v>
      </c>
      <c r="O15" s="3" t="s">
        <v>70</v>
      </c>
      <c r="P15" s="1"/>
    </row>
    <row r="16" spans="2:16" ht="23.25" hidden="1" thickBot="1">
      <c r="B16" s="4" t="s">
        <v>75</v>
      </c>
      <c r="C16" s="4" t="s">
        <v>8</v>
      </c>
      <c r="D16" s="4" t="s">
        <v>18</v>
      </c>
      <c r="E16" s="4" t="s">
        <v>17</v>
      </c>
      <c r="F16" s="3">
        <v>13</v>
      </c>
      <c r="G16" s="4" t="s">
        <v>28</v>
      </c>
      <c r="H16" s="4" t="s">
        <v>14</v>
      </c>
      <c r="I16" s="4"/>
      <c r="J16" s="4" t="s">
        <v>62</v>
      </c>
      <c r="K16" s="4" t="s">
        <v>61</v>
      </c>
      <c r="L16" s="4" t="s">
        <v>73</v>
      </c>
      <c r="M16" s="4" t="s">
        <v>72</v>
      </c>
      <c r="N16" s="3">
        <v>0.68695643100000003</v>
      </c>
      <c r="O16" s="3" t="s">
        <v>74</v>
      </c>
      <c r="P16" s="1"/>
    </row>
    <row r="17" spans="2:16" ht="23.25" hidden="1" thickBot="1">
      <c r="B17" s="4" t="s">
        <v>79</v>
      </c>
      <c r="C17" s="4" t="s">
        <v>8</v>
      </c>
      <c r="D17" s="4" t="s">
        <v>18</v>
      </c>
      <c r="E17" s="4" t="s">
        <v>17</v>
      </c>
      <c r="F17" s="3">
        <v>14</v>
      </c>
      <c r="G17" s="4" t="s">
        <v>28</v>
      </c>
      <c r="H17" s="4" t="s">
        <v>14</v>
      </c>
      <c r="I17" s="4"/>
      <c r="J17" s="4" t="s">
        <v>62</v>
      </c>
      <c r="K17" s="4" t="s">
        <v>61</v>
      </c>
      <c r="L17" s="4" t="s">
        <v>77</v>
      </c>
      <c r="M17" s="4" t="s">
        <v>76</v>
      </c>
      <c r="N17" s="3">
        <v>0.659715359</v>
      </c>
      <c r="O17" s="3" t="s">
        <v>78</v>
      </c>
      <c r="P17" s="1"/>
    </row>
    <row r="18" spans="2:16" ht="15.75" hidden="1" thickBot="1">
      <c r="B18" s="4" t="s">
        <v>85</v>
      </c>
      <c r="C18" s="4" t="s">
        <v>8</v>
      </c>
      <c r="D18" s="4" t="s">
        <v>18</v>
      </c>
      <c r="E18" s="4" t="s">
        <v>17</v>
      </c>
      <c r="F18" s="3">
        <v>15</v>
      </c>
      <c r="G18" s="4" t="s">
        <v>28</v>
      </c>
      <c r="H18" s="4" t="s">
        <v>14</v>
      </c>
      <c r="I18" s="4"/>
      <c r="J18" s="4" t="s">
        <v>81</v>
      </c>
      <c r="K18" s="4" t="s">
        <v>80</v>
      </c>
      <c r="L18" s="4" t="s">
        <v>83</v>
      </c>
      <c r="M18" s="4" t="s">
        <v>82</v>
      </c>
      <c r="N18" s="3">
        <v>0.89613059900000003</v>
      </c>
      <c r="O18" s="3" t="s">
        <v>84</v>
      </c>
      <c r="P18" s="1"/>
    </row>
    <row r="19" spans="2:16" ht="15.75" hidden="1" thickBot="1">
      <c r="B19" s="4" t="s">
        <v>89</v>
      </c>
      <c r="C19" s="4" t="s">
        <v>8</v>
      </c>
      <c r="D19" s="4" t="s">
        <v>18</v>
      </c>
      <c r="E19" s="4" t="s">
        <v>17</v>
      </c>
      <c r="F19" s="3">
        <v>16</v>
      </c>
      <c r="G19" s="4" t="s">
        <v>28</v>
      </c>
      <c r="H19" s="4" t="s">
        <v>14</v>
      </c>
      <c r="I19" s="4"/>
      <c r="J19" s="4" t="s">
        <v>81</v>
      </c>
      <c r="K19" s="4" t="s">
        <v>80</v>
      </c>
      <c r="L19" s="4" t="s">
        <v>87</v>
      </c>
      <c r="M19" s="4" t="s">
        <v>86</v>
      </c>
      <c r="N19" s="3">
        <v>1.944697159</v>
      </c>
      <c r="O19" s="3" t="s">
        <v>88</v>
      </c>
      <c r="P19" s="1"/>
    </row>
    <row r="20" spans="2:16" ht="15.75" hidden="1" thickBot="1">
      <c r="B20" s="4" t="s">
        <v>93</v>
      </c>
      <c r="C20" s="4" t="s">
        <v>8</v>
      </c>
      <c r="D20" s="4" t="s">
        <v>18</v>
      </c>
      <c r="E20" s="4" t="s">
        <v>17</v>
      </c>
      <c r="F20" s="3">
        <v>17</v>
      </c>
      <c r="G20" s="4" t="s">
        <v>13</v>
      </c>
      <c r="H20" s="4" t="s">
        <v>14</v>
      </c>
      <c r="I20" s="4"/>
      <c r="J20" s="4" t="s">
        <v>81</v>
      </c>
      <c r="K20" s="4" t="s">
        <v>80</v>
      </c>
      <c r="L20" s="4" t="s">
        <v>91</v>
      </c>
      <c r="M20" s="4" t="s">
        <v>90</v>
      </c>
      <c r="N20" s="3">
        <v>1.560550331</v>
      </c>
      <c r="O20" s="3" t="s">
        <v>92</v>
      </c>
      <c r="P20" s="1"/>
    </row>
    <row r="21" spans="2:16" ht="15.75" hidden="1" thickBot="1">
      <c r="B21" s="4" t="s">
        <v>97</v>
      </c>
      <c r="C21" s="4" t="s">
        <v>8</v>
      </c>
      <c r="D21" s="4" t="s">
        <v>18</v>
      </c>
      <c r="E21" s="4" t="s">
        <v>17</v>
      </c>
      <c r="F21" s="3">
        <v>18</v>
      </c>
      <c r="G21" s="4" t="s">
        <v>28</v>
      </c>
      <c r="H21" s="4" t="s">
        <v>14</v>
      </c>
      <c r="I21" s="4"/>
      <c r="J21" s="4" t="s">
        <v>81</v>
      </c>
      <c r="K21" s="4" t="s">
        <v>80</v>
      </c>
      <c r="L21" s="4" t="s">
        <v>95</v>
      </c>
      <c r="M21" s="4" t="s">
        <v>94</v>
      </c>
      <c r="N21" s="3">
        <v>3.1523469550000001</v>
      </c>
      <c r="O21" s="3" t="s">
        <v>96</v>
      </c>
      <c r="P21" s="1"/>
    </row>
    <row r="22" spans="2:16" ht="15.75" hidden="1" thickBot="1">
      <c r="B22" s="4" t="s">
        <v>101</v>
      </c>
      <c r="C22" s="4" t="s">
        <v>8</v>
      </c>
      <c r="D22" s="4" t="s">
        <v>18</v>
      </c>
      <c r="E22" s="4" t="s">
        <v>17</v>
      </c>
      <c r="F22" s="3">
        <v>19</v>
      </c>
      <c r="G22" s="4" t="s">
        <v>28</v>
      </c>
      <c r="H22" s="4" t="s">
        <v>14</v>
      </c>
      <c r="I22" s="4"/>
      <c r="J22" s="4" t="s">
        <v>81</v>
      </c>
      <c r="K22" s="4" t="s">
        <v>80</v>
      </c>
      <c r="L22" s="4" t="s">
        <v>99</v>
      </c>
      <c r="M22" s="4" t="s">
        <v>98</v>
      </c>
      <c r="N22" s="3">
        <v>1.331711742</v>
      </c>
      <c r="O22" s="3" t="s">
        <v>100</v>
      </c>
      <c r="P22" s="1"/>
    </row>
    <row r="23" spans="2:16" ht="15.75" hidden="1" thickBot="1">
      <c r="B23" s="4" t="s">
        <v>105</v>
      </c>
      <c r="C23" s="4" t="s">
        <v>8</v>
      </c>
      <c r="D23" s="4" t="s">
        <v>18</v>
      </c>
      <c r="E23" s="4" t="s">
        <v>17</v>
      </c>
      <c r="F23" s="3">
        <v>20</v>
      </c>
      <c r="G23" s="4" t="s">
        <v>67</v>
      </c>
      <c r="H23" s="4" t="s">
        <v>14</v>
      </c>
      <c r="I23" s="4"/>
      <c r="J23" s="4" t="s">
        <v>81</v>
      </c>
      <c r="K23" s="4" t="s">
        <v>80</v>
      </c>
      <c r="L23" s="4" t="s">
        <v>103</v>
      </c>
      <c r="M23" s="4" t="s">
        <v>102</v>
      </c>
      <c r="N23" s="3">
        <v>0.15119537399999999</v>
      </c>
      <c r="O23" s="3" t="s">
        <v>104</v>
      </c>
      <c r="P23" s="1"/>
    </row>
    <row r="24" spans="2:16" ht="15.75" hidden="1" thickBot="1">
      <c r="B24" s="4" t="s">
        <v>109</v>
      </c>
      <c r="C24" s="4" t="s">
        <v>8</v>
      </c>
      <c r="D24" s="4" t="s">
        <v>18</v>
      </c>
      <c r="E24" s="4" t="s">
        <v>17</v>
      </c>
      <c r="F24" s="3">
        <v>21</v>
      </c>
      <c r="G24" s="4" t="s">
        <v>28</v>
      </c>
      <c r="H24" s="4" t="s">
        <v>14</v>
      </c>
      <c r="I24" s="4"/>
      <c r="J24" s="4" t="s">
        <v>81</v>
      </c>
      <c r="K24" s="4" t="s">
        <v>80</v>
      </c>
      <c r="L24" s="4" t="s">
        <v>107</v>
      </c>
      <c r="M24" s="4" t="s">
        <v>106</v>
      </c>
      <c r="N24" s="3">
        <v>0.113965789</v>
      </c>
      <c r="O24" s="3" t="s">
        <v>108</v>
      </c>
      <c r="P24" s="1"/>
    </row>
    <row r="25" spans="2:16" ht="15.75" hidden="1" thickBot="1">
      <c r="B25" s="4" t="s">
        <v>113</v>
      </c>
      <c r="C25" s="4" t="s">
        <v>8</v>
      </c>
      <c r="D25" s="4" t="s">
        <v>18</v>
      </c>
      <c r="E25" s="4" t="s">
        <v>17</v>
      </c>
      <c r="F25" s="3">
        <v>22</v>
      </c>
      <c r="G25" s="4" t="s">
        <v>44</v>
      </c>
      <c r="H25" s="4" t="s">
        <v>14</v>
      </c>
      <c r="I25" s="4"/>
      <c r="J25" s="4" t="s">
        <v>81</v>
      </c>
      <c r="K25" s="4" t="s">
        <v>80</v>
      </c>
      <c r="L25" s="4" t="s">
        <v>111</v>
      </c>
      <c r="M25" s="4" t="s">
        <v>110</v>
      </c>
      <c r="N25" s="3">
        <v>0.10340205199999999</v>
      </c>
      <c r="O25" s="3" t="s">
        <v>112</v>
      </c>
      <c r="P25" s="1"/>
    </row>
    <row r="26" spans="2:16" ht="15.75" hidden="1" thickBot="1">
      <c r="B26" s="4" t="s">
        <v>121</v>
      </c>
      <c r="C26" s="4" t="s">
        <v>8</v>
      </c>
      <c r="D26" s="4" t="s">
        <v>117</v>
      </c>
      <c r="E26" s="4" t="s">
        <v>17</v>
      </c>
      <c r="F26" s="3">
        <v>23</v>
      </c>
      <c r="G26" s="4" t="s">
        <v>114</v>
      </c>
      <c r="H26" s="4" t="s">
        <v>14</v>
      </c>
      <c r="I26" s="4"/>
      <c r="J26" s="4" t="s">
        <v>116</v>
      </c>
      <c r="K26" s="4" t="s">
        <v>115</v>
      </c>
      <c r="L26" s="4" t="s">
        <v>119</v>
      </c>
      <c r="M26" s="4" t="s">
        <v>118</v>
      </c>
      <c r="N26" s="3">
        <v>1.011082362</v>
      </c>
      <c r="O26" s="3" t="s">
        <v>120</v>
      </c>
      <c r="P26" s="1"/>
    </row>
    <row r="27" spans="2:16" ht="15.75" hidden="1" thickBot="1">
      <c r="B27" s="4" t="s">
        <v>125</v>
      </c>
      <c r="C27" s="4" t="s">
        <v>8</v>
      </c>
      <c r="D27" s="4" t="s">
        <v>117</v>
      </c>
      <c r="E27" s="4" t="s">
        <v>17</v>
      </c>
      <c r="F27" s="3">
        <v>24</v>
      </c>
      <c r="G27" s="4" t="s">
        <v>114</v>
      </c>
      <c r="H27" s="4" t="s">
        <v>14</v>
      </c>
      <c r="I27" s="4"/>
      <c r="J27" s="4" t="s">
        <v>116</v>
      </c>
      <c r="K27" s="4" t="s">
        <v>115</v>
      </c>
      <c r="L27" s="4" t="s">
        <v>123</v>
      </c>
      <c r="M27" s="4" t="s">
        <v>122</v>
      </c>
      <c r="N27" s="3">
        <v>1.107917638</v>
      </c>
      <c r="O27" s="3" t="s">
        <v>124</v>
      </c>
      <c r="P27" s="1"/>
    </row>
    <row r="28" spans="2:16" ht="34.5" hidden="1" thickBot="1">
      <c r="B28" s="4" t="s">
        <v>131</v>
      </c>
      <c r="C28" s="4" t="s">
        <v>8</v>
      </c>
      <c r="D28" s="4" t="s">
        <v>18</v>
      </c>
      <c r="E28" s="4" t="s">
        <v>17</v>
      </c>
      <c r="F28" s="3">
        <v>25</v>
      </c>
      <c r="G28" s="4" t="s">
        <v>28</v>
      </c>
      <c r="H28" s="4" t="s">
        <v>14</v>
      </c>
      <c r="I28" s="4"/>
      <c r="J28" s="4" t="s">
        <v>127</v>
      </c>
      <c r="K28" s="4" t="s">
        <v>126</v>
      </c>
      <c r="L28" s="4" t="s">
        <v>129</v>
      </c>
      <c r="M28" s="4" t="s">
        <v>128</v>
      </c>
      <c r="N28" s="3">
        <v>1.0328911759999999</v>
      </c>
      <c r="O28" s="3" t="s">
        <v>130</v>
      </c>
      <c r="P28" s="1"/>
    </row>
    <row r="29" spans="2:16" ht="34.5" hidden="1" thickBot="1">
      <c r="B29" s="4" t="s">
        <v>97</v>
      </c>
      <c r="C29" s="4" t="s">
        <v>8</v>
      </c>
      <c r="D29" s="4" t="s">
        <v>18</v>
      </c>
      <c r="E29" s="4" t="s">
        <v>17</v>
      </c>
      <c r="F29" s="3">
        <v>26</v>
      </c>
      <c r="G29" s="4" t="s">
        <v>28</v>
      </c>
      <c r="H29" s="4" t="s">
        <v>14</v>
      </c>
      <c r="I29" s="4"/>
      <c r="J29" s="4" t="s">
        <v>127</v>
      </c>
      <c r="K29" s="4" t="s">
        <v>126</v>
      </c>
      <c r="L29" s="4" t="s">
        <v>95</v>
      </c>
      <c r="M29" s="4" t="s">
        <v>94</v>
      </c>
      <c r="N29" s="3">
        <v>1.9472119800000001</v>
      </c>
      <c r="O29" s="3" t="s">
        <v>132</v>
      </c>
      <c r="P29" s="1"/>
    </row>
    <row r="30" spans="2:16" ht="34.5" hidden="1" thickBot="1">
      <c r="B30" s="4" t="s">
        <v>136</v>
      </c>
      <c r="C30" s="4" t="s">
        <v>8</v>
      </c>
      <c r="D30" s="4" t="s">
        <v>18</v>
      </c>
      <c r="E30" s="4" t="s">
        <v>17</v>
      </c>
      <c r="F30" s="3">
        <v>27</v>
      </c>
      <c r="G30" s="4" t="s">
        <v>28</v>
      </c>
      <c r="H30" s="4" t="s">
        <v>14</v>
      </c>
      <c r="I30" s="4"/>
      <c r="J30" s="4" t="s">
        <v>127</v>
      </c>
      <c r="K30" s="4" t="s">
        <v>126</v>
      </c>
      <c r="L30" s="4" t="s">
        <v>134</v>
      </c>
      <c r="M30" s="4" t="s">
        <v>133</v>
      </c>
      <c r="N30" s="3">
        <v>1.1775074759999999</v>
      </c>
      <c r="O30" s="3" t="s">
        <v>135</v>
      </c>
      <c r="P30" s="1"/>
    </row>
    <row r="31" spans="2:16" ht="34.5" hidden="1" thickBot="1">
      <c r="B31" s="4" t="s">
        <v>140</v>
      </c>
      <c r="C31" s="4" t="s">
        <v>8</v>
      </c>
      <c r="D31" s="4" t="s">
        <v>18</v>
      </c>
      <c r="E31" s="4" t="s">
        <v>17</v>
      </c>
      <c r="F31" s="3">
        <v>28</v>
      </c>
      <c r="G31" s="4" t="s">
        <v>114</v>
      </c>
      <c r="H31" s="4" t="s">
        <v>14</v>
      </c>
      <c r="I31" s="4"/>
      <c r="J31" s="4" t="s">
        <v>127</v>
      </c>
      <c r="K31" s="4" t="s">
        <v>126</v>
      </c>
      <c r="L31" s="4" t="s">
        <v>138</v>
      </c>
      <c r="M31" s="4" t="s">
        <v>137</v>
      </c>
      <c r="N31" s="3">
        <v>0.23025612300000001</v>
      </c>
      <c r="O31" s="3" t="s">
        <v>139</v>
      </c>
      <c r="P31" s="1"/>
    </row>
    <row r="32" spans="2:16" ht="34.5" hidden="1" thickBot="1">
      <c r="B32" s="4" t="s">
        <v>144</v>
      </c>
      <c r="C32" s="4" t="s">
        <v>8</v>
      </c>
      <c r="D32" s="4" t="s">
        <v>18</v>
      </c>
      <c r="E32" s="4" t="s">
        <v>17</v>
      </c>
      <c r="F32" s="3">
        <v>29</v>
      </c>
      <c r="G32" s="4" t="s">
        <v>28</v>
      </c>
      <c r="H32" s="4" t="s">
        <v>14</v>
      </c>
      <c r="I32" s="4"/>
      <c r="J32" s="4" t="s">
        <v>127</v>
      </c>
      <c r="K32" s="4" t="s">
        <v>126</v>
      </c>
      <c r="L32" s="4" t="s">
        <v>142</v>
      </c>
      <c r="M32" s="4" t="s">
        <v>141</v>
      </c>
      <c r="N32" s="3">
        <v>0.77462160999999996</v>
      </c>
      <c r="O32" s="3" t="s">
        <v>143</v>
      </c>
      <c r="P32" s="1"/>
    </row>
    <row r="33" spans="2:16" ht="34.5" hidden="1" thickBot="1">
      <c r="B33" s="4" t="s">
        <v>148</v>
      </c>
      <c r="C33" s="4" t="s">
        <v>8</v>
      </c>
      <c r="D33" s="4" t="s">
        <v>18</v>
      </c>
      <c r="E33" s="4" t="s">
        <v>17</v>
      </c>
      <c r="F33" s="3">
        <v>30</v>
      </c>
      <c r="G33" s="4" t="s">
        <v>28</v>
      </c>
      <c r="H33" s="4" t="s">
        <v>14</v>
      </c>
      <c r="I33" s="4"/>
      <c r="J33" s="4" t="s">
        <v>127</v>
      </c>
      <c r="K33" s="4" t="s">
        <v>126</v>
      </c>
      <c r="L33" s="4" t="s">
        <v>146</v>
      </c>
      <c r="M33" s="4" t="s">
        <v>145</v>
      </c>
      <c r="N33" s="3">
        <v>1.137511634</v>
      </c>
      <c r="O33" s="3" t="s">
        <v>147</v>
      </c>
      <c r="P33" s="1"/>
    </row>
    <row r="34" spans="2:16" ht="15.75" thickBot="1">
      <c r="B34" s="4" t="s">
        <v>32</v>
      </c>
      <c r="C34" s="4" t="s">
        <v>8</v>
      </c>
      <c r="D34" s="4" t="s">
        <v>18</v>
      </c>
      <c r="E34" s="4" t="s">
        <v>17</v>
      </c>
      <c r="F34" s="3">
        <v>31</v>
      </c>
      <c r="G34" s="4" t="s">
        <v>28</v>
      </c>
      <c r="H34" s="4" t="s">
        <v>14</v>
      </c>
      <c r="I34" s="4"/>
      <c r="J34" s="4" t="s">
        <v>150</v>
      </c>
      <c r="K34" s="4" t="s">
        <v>149</v>
      </c>
      <c r="L34" s="4" t="s">
        <v>30</v>
      </c>
      <c r="M34" s="4" t="s">
        <v>29</v>
      </c>
      <c r="N34" s="3">
        <v>2.814057193</v>
      </c>
      <c r="O34" s="3" t="s">
        <v>31</v>
      </c>
      <c r="P34" s="1"/>
    </row>
    <row r="35" spans="2:16" ht="15.75" thickBot="1">
      <c r="B35" s="4" t="s">
        <v>36</v>
      </c>
      <c r="C35" s="4" t="s">
        <v>8</v>
      </c>
      <c r="D35" s="4" t="s">
        <v>18</v>
      </c>
      <c r="E35" s="4" t="s">
        <v>17</v>
      </c>
      <c r="F35" s="3">
        <v>32</v>
      </c>
      <c r="G35" s="4" t="s">
        <v>13</v>
      </c>
      <c r="H35" s="4" t="s">
        <v>14</v>
      </c>
      <c r="I35" s="4"/>
      <c r="J35" s="4" t="s">
        <v>150</v>
      </c>
      <c r="K35" s="4" t="s">
        <v>149</v>
      </c>
      <c r="L35" s="4" t="s">
        <v>34</v>
      </c>
      <c r="M35" s="4" t="s">
        <v>33</v>
      </c>
      <c r="N35" s="3">
        <v>0.29625560499999998</v>
      </c>
      <c r="O35" s="3" t="s">
        <v>35</v>
      </c>
      <c r="P35" s="1"/>
    </row>
    <row r="36" spans="2:16" ht="15.75" thickBot="1">
      <c r="B36" s="4" t="s">
        <v>40</v>
      </c>
      <c r="C36" s="4" t="s">
        <v>8</v>
      </c>
      <c r="D36" s="4" t="s">
        <v>18</v>
      </c>
      <c r="E36" s="4" t="s">
        <v>17</v>
      </c>
      <c r="F36" s="3">
        <v>33</v>
      </c>
      <c r="G36" s="4" t="s">
        <v>13</v>
      </c>
      <c r="H36" s="4" t="s">
        <v>14</v>
      </c>
      <c r="I36" s="4"/>
      <c r="J36" s="4" t="s">
        <v>150</v>
      </c>
      <c r="K36" s="4" t="s">
        <v>149</v>
      </c>
      <c r="L36" s="4" t="s">
        <v>38</v>
      </c>
      <c r="M36" s="4" t="s">
        <v>37</v>
      </c>
      <c r="N36" s="3">
        <v>9.0431660999999997E-2</v>
      </c>
      <c r="O36" s="3" t="s">
        <v>39</v>
      </c>
      <c r="P36" s="1"/>
    </row>
    <row r="37" spans="2:16" ht="15.75" thickBot="1">
      <c r="B37" s="4" t="s">
        <v>41</v>
      </c>
      <c r="C37" s="4" t="s">
        <v>8</v>
      </c>
      <c r="D37" s="4" t="s">
        <v>18</v>
      </c>
      <c r="E37" s="4" t="s">
        <v>17</v>
      </c>
      <c r="F37" s="3">
        <v>34</v>
      </c>
      <c r="G37" s="4" t="s">
        <v>13</v>
      </c>
      <c r="H37" s="4" t="s">
        <v>14</v>
      </c>
      <c r="I37" s="4"/>
      <c r="J37" s="4" t="s">
        <v>150</v>
      </c>
      <c r="K37" s="4" t="s">
        <v>149</v>
      </c>
      <c r="L37" s="4" t="s">
        <v>42</v>
      </c>
      <c r="M37" s="4" t="s">
        <v>41</v>
      </c>
      <c r="N37" s="3">
        <v>1.2255540000000001E-2</v>
      </c>
      <c r="O37" s="3" t="s">
        <v>43</v>
      </c>
      <c r="P37" s="1"/>
    </row>
    <row r="38" spans="2:16" ht="15.75" hidden="1" thickBot="1">
      <c r="B38" s="4" t="s">
        <v>156</v>
      </c>
      <c r="C38" s="4" t="s">
        <v>8</v>
      </c>
      <c r="D38" s="4" t="s">
        <v>117</v>
      </c>
      <c r="E38" s="4" t="s">
        <v>17</v>
      </c>
      <c r="F38" s="3">
        <v>35</v>
      </c>
      <c r="G38" s="4" t="s">
        <v>28</v>
      </c>
      <c r="H38" s="4" t="s">
        <v>14</v>
      </c>
      <c r="I38" s="4"/>
      <c r="J38" s="4" t="s">
        <v>152</v>
      </c>
      <c r="K38" s="4" t="s">
        <v>151</v>
      </c>
      <c r="L38" s="4" t="s">
        <v>154</v>
      </c>
      <c r="M38" s="4" t="s">
        <v>153</v>
      </c>
      <c r="N38" s="3">
        <v>10.388497644999999</v>
      </c>
      <c r="O38" s="3" t="s">
        <v>155</v>
      </c>
      <c r="P38" s="1"/>
    </row>
    <row r="39" spans="2:16" ht="15.75" hidden="1" thickBot="1">
      <c r="B39" s="4" t="s">
        <v>160</v>
      </c>
      <c r="C39" s="4" t="s">
        <v>8</v>
      </c>
      <c r="D39" s="4" t="s">
        <v>117</v>
      </c>
      <c r="E39" s="4" t="s">
        <v>17</v>
      </c>
      <c r="F39" s="3">
        <v>36</v>
      </c>
      <c r="G39" s="4" t="s">
        <v>28</v>
      </c>
      <c r="H39" s="4" t="s">
        <v>14</v>
      </c>
      <c r="I39" s="4"/>
      <c r="J39" s="4" t="s">
        <v>152</v>
      </c>
      <c r="K39" s="4" t="s">
        <v>151</v>
      </c>
      <c r="L39" s="4" t="s">
        <v>158</v>
      </c>
      <c r="M39" s="4" t="s">
        <v>157</v>
      </c>
      <c r="N39" s="3">
        <v>33.855151468999999</v>
      </c>
      <c r="O39" s="3" t="s">
        <v>159</v>
      </c>
      <c r="P39" s="1"/>
    </row>
    <row r="40" spans="2:16" ht="15.75" hidden="1" thickBot="1">
      <c r="B40" s="4" t="s">
        <v>22</v>
      </c>
      <c r="C40" s="4" t="s">
        <v>8</v>
      </c>
      <c r="D40" s="4" t="s">
        <v>117</v>
      </c>
      <c r="E40" s="4" t="s">
        <v>17</v>
      </c>
      <c r="F40" s="3">
        <v>37</v>
      </c>
      <c r="G40" s="4" t="s">
        <v>13</v>
      </c>
      <c r="H40" s="4" t="s">
        <v>14</v>
      </c>
      <c r="I40" s="4"/>
      <c r="J40" s="4" t="s">
        <v>152</v>
      </c>
      <c r="K40" s="4" t="s">
        <v>151</v>
      </c>
      <c r="L40" s="4" t="s">
        <v>20</v>
      </c>
      <c r="M40" s="4" t="s">
        <v>19</v>
      </c>
      <c r="N40" s="3">
        <v>11.185015591000001</v>
      </c>
      <c r="O40" s="3" t="s">
        <v>21</v>
      </c>
      <c r="P40" s="1"/>
    </row>
    <row r="41" spans="2:16" ht="15.75" hidden="1" thickBot="1">
      <c r="B41" s="4" t="s">
        <v>27</v>
      </c>
      <c r="C41" s="4" t="s">
        <v>8</v>
      </c>
      <c r="D41" s="4" t="s">
        <v>117</v>
      </c>
      <c r="E41" s="4" t="s">
        <v>17</v>
      </c>
      <c r="F41" s="3">
        <v>38</v>
      </c>
      <c r="G41" s="4" t="s">
        <v>23</v>
      </c>
      <c r="H41" s="4" t="s">
        <v>14</v>
      </c>
      <c r="I41" s="4"/>
      <c r="J41" s="4" t="s">
        <v>152</v>
      </c>
      <c r="K41" s="4" t="s">
        <v>151</v>
      </c>
      <c r="L41" s="4" t="s">
        <v>25</v>
      </c>
      <c r="M41" s="4" t="s">
        <v>24</v>
      </c>
      <c r="N41" s="3">
        <v>5.7169345629999997</v>
      </c>
      <c r="O41" s="3" t="s">
        <v>26</v>
      </c>
      <c r="P41" s="1"/>
    </row>
    <row r="42" spans="2:16" ht="15.75" hidden="1" thickBot="1">
      <c r="B42" s="4" t="s">
        <v>164</v>
      </c>
      <c r="C42" s="4" t="s">
        <v>8</v>
      </c>
      <c r="D42" s="4" t="s">
        <v>117</v>
      </c>
      <c r="E42" s="4" t="s">
        <v>17</v>
      </c>
      <c r="F42" s="3">
        <v>39</v>
      </c>
      <c r="G42" s="4" t="s">
        <v>28</v>
      </c>
      <c r="H42" s="4" t="s">
        <v>14</v>
      </c>
      <c r="I42" s="4"/>
      <c r="J42" s="4" t="s">
        <v>152</v>
      </c>
      <c r="K42" s="4" t="s">
        <v>151</v>
      </c>
      <c r="L42" s="4" t="s">
        <v>162</v>
      </c>
      <c r="M42" s="4" t="s">
        <v>161</v>
      </c>
      <c r="N42" s="3">
        <v>90.794126754000004</v>
      </c>
      <c r="O42" s="3" t="s">
        <v>163</v>
      </c>
      <c r="P42" s="1"/>
    </row>
    <row r="43" spans="2:16" ht="15.75" hidden="1" thickBot="1">
      <c r="B43" s="4" t="s">
        <v>168</v>
      </c>
      <c r="C43" s="4" t="s">
        <v>8</v>
      </c>
      <c r="D43" s="4" t="s">
        <v>117</v>
      </c>
      <c r="E43" s="4" t="s">
        <v>17</v>
      </c>
      <c r="F43" s="3">
        <v>40</v>
      </c>
      <c r="G43" s="4" t="s">
        <v>28</v>
      </c>
      <c r="H43" s="4" t="s">
        <v>14</v>
      </c>
      <c r="I43" s="4"/>
      <c r="J43" s="4" t="s">
        <v>152</v>
      </c>
      <c r="K43" s="4" t="s">
        <v>151</v>
      </c>
      <c r="L43" s="4" t="s">
        <v>166</v>
      </c>
      <c r="M43" s="4" t="s">
        <v>165</v>
      </c>
      <c r="N43" s="3">
        <v>32.891907983000003</v>
      </c>
      <c r="O43" s="3" t="s">
        <v>167</v>
      </c>
      <c r="P43" s="1"/>
    </row>
    <row r="44" spans="2:16" ht="15.75" hidden="1" thickBot="1">
      <c r="B44" s="4" t="s">
        <v>172</v>
      </c>
      <c r="C44" s="4" t="s">
        <v>8</v>
      </c>
      <c r="D44" s="4" t="s">
        <v>117</v>
      </c>
      <c r="E44" s="4" t="s">
        <v>17</v>
      </c>
      <c r="F44" s="3">
        <v>41</v>
      </c>
      <c r="G44" s="4" t="s">
        <v>114</v>
      </c>
      <c r="H44" s="4" t="s">
        <v>14</v>
      </c>
      <c r="I44" s="4"/>
      <c r="J44" s="4" t="s">
        <v>152</v>
      </c>
      <c r="K44" s="4" t="s">
        <v>151</v>
      </c>
      <c r="L44" s="4" t="s">
        <v>170</v>
      </c>
      <c r="M44" s="4" t="s">
        <v>169</v>
      </c>
      <c r="N44" s="3">
        <v>5.4451191129999996</v>
      </c>
      <c r="O44" s="3" t="s">
        <v>171</v>
      </c>
      <c r="P44" s="1"/>
    </row>
    <row r="45" spans="2:16" ht="15.75" hidden="1" thickBot="1">
      <c r="B45" s="4" t="s">
        <v>177</v>
      </c>
      <c r="C45" s="4" t="s">
        <v>8</v>
      </c>
      <c r="D45" s="4" t="s">
        <v>117</v>
      </c>
      <c r="E45" s="4" t="s">
        <v>17</v>
      </c>
      <c r="F45" s="3">
        <v>42</v>
      </c>
      <c r="G45" s="4" t="s">
        <v>173</v>
      </c>
      <c r="H45" s="4" t="s">
        <v>14</v>
      </c>
      <c r="I45" s="4"/>
      <c r="J45" s="4" t="s">
        <v>152</v>
      </c>
      <c r="K45" s="4" t="s">
        <v>151</v>
      </c>
      <c r="L45" s="4" t="s">
        <v>175</v>
      </c>
      <c r="M45" s="4" t="s">
        <v>174</v>
      </c>
      <c r="N45" s="3">
        <v>4.9212203629999998</v>
      </c>
      <c r="O45" s="3" t="s">
        <v>176</v>
      </c>
      <c r="P45" s="1"/>
    </row>
    <row r="46" spans="2:16" ht="15.75" hidden="1" thickBot="1">
      <c r="B46" s="4" t="s">
        <v>182</v>
      </c>
      <c r="C46" s="4" t="s">
        <v>8</v>
      </c>
      <c r="D46" s="4" t="s">
        <v>117</v>
      </c>
      <c r="E46" s="4" t="s">
        <v>17</v>
      </c>
      <c r="F46" s="3">
        <v>43</v>
      </c>
      <c r="G46" s="4" t="s">
        <v>178</v>
      </c>
      <c r="H46" s="4" t="s">
        <v>14</v>
      </c>
      <c r="I46" s="4"/>
      <c r="J46" s="4" t="s">
        <v>152</v>
      </c>
      <c r="K46" s="4" t="s">
        <v>151</v>
      </c>
      <c r="L46" s="4" t="s">
        <v>180</v>
      </c>
      <c r="M46" s="4" t="s">
        <v>179</v>
      </c>
      <c r="N46" s="3">
        <v>1.713594888</v>
      </c>
      <c r="O46" s="3" t="s">
        <v>181</v>
      </c>
      <c r="P46" s="1"/>
    </row>
    <row r="47" spans="2:16" ht="15.75" hidden="1" thickBot="1">
      <c r="B47" s="4" t="s">
        <v>186</v>
      </c>
      <c r="C47" s="4" t="s">
        <v>8</v>
      </c>
      <c r="D47" s="4" t="s">
        <v>117</v>
      </c>
      <c r="E47" s="4" t="s">
        <v>17</v>
      </c>
      <c r="F47" s="3">
        <v>44</v>
      </c>
      <c r="G47" s="4" t="s">
        <v>173</v>
      </c>
      <c r="H47" s="4" t="s">
        <v>14</v>
      </c>
      <c r="I47" s="4"/>
      <c r="J47" s="4" t="s">
        <v>152</v>
      </c>
      <c r="K47" s="4" t="s">
        <v>151</v>
      </c>
      <c r="L47" s="4" t="s">
        <v>184</v>
      </c>
      <c r="M47" s="4" t="s">
        <v>183</v>
      </c>
      <c r="N47" s="3">
        <v>3.7668836259999998</v>
      </c>
      <c r="O47" s="3" t="s">
        <v>185</v>
      </c>
      <c r="P47" s="1"/>
    </row>
    <row r="48" spans="2:16" ht="15.75" hidden="1" thickBot="1">
      <c r="B48" s="4" t="s">
        <v>190</v>
      </c>
      <c r="C48" s="4" t="s">
        <v>8</v>
      </c>
      <c r="D48" s="4" t="s">
        <v>117</v>
      </c>
      <c r="E48" s="4" t="s">
        <v>17</v>
      </c>
      <c r="F48" s="3">
        <v>45</v>
      </c>
      <c r="G48" s="4" t="s">
        <v>28</v>
      </c>
      <c r="H48" s="4" t="s">
        <v>14</v>
      </c>
      <c r="I48" s="4"/>
      <c r="J48" s="4" t="s">
        <v>152</v>
      </c>
      <c r="K48" s="4" t="s">
        <v>151</v>
      </c>
      <c r="L48" s="4" t="s">
        <v>188</v>
      </c>
      <c r="M48" s="4" t="s">
        <v>187</v>
      </c>
      <c r="N48" s="3">
        <v>7.3122521029999996</v>
      </c>
      <c r="O48" s="3" t="s">
        <v>189</v>
      </c>
      <c r="P48" s="1"/>
    </row>
    <row r="49" spans="2:16" ht="15.75" hidden="1" thickBot="1">
      <c r="B49" s="4" t="s">
        <v>194</v>
      </c>
      <c r="C49" s="4" t="s">
        <v>8</v>
      </c>
      <c r="D49" s="4" t="s">
        <v>117</v>
      </c>
      <c r="E49" s="4" t="s">
        <v>17</v>
      </c>
      <c r="F49" s="3">
        <v>46</v>
      </c>
      <c r="G49" s="4" t="s">
        <v>114</v>
      </c>
      <c r="H49" s="4" t="s">
        <v>14</v>
      </c>
      <c r="I49" s="4"/>
      <c r="J49" s="4" t="s">
        <v>152</v>
      </c>
      <c r="K49" s="4" t="s">
        <v>151</v>
      </c>
      <c r="L49" s="4" t="s">
        <v>192</v>
      </c>
      <c r="M49" s="4" t="s">
        <v>191</v>
      </c>
      <c r="N49" s="3">
        <v>11.788847387000001</v>
      </c>
      <c r="O49" s="3" t="s">
        <v>193</v>
      </c>
      <c r="P49" s="1"/>
    </row>
    <row r="50" spans="2:16" ht="15.75" hidden="1" thickBot="1">
      <c r="B50" s="4" t="s">
        <v>48</v>
      </c>
      <c r="C50" s="4" t="s">
        <v>8</v>
      </c>
      <c r="D50" s="4" t="s">
        <v>117</v>
      </c>
      <c r="E50" s="4" t="s">
        <v>17</v>
      </c>
      <c r="F50" s="3">
        <v>47</v>
      </c>
      <c r="G50" s="4" t="s">
        <v>44</v>
      </c>
      <c r="H50" s="4" t="s">
        <v>14</v>
      </c>
      <c r="I50" s="4"/>
      <c r="J50" s="4" t="s">
        <v>152</v>
      </c>
      <c r="K50" s="4" t="s">
        <v>151</v>
      </c>
      <c r="L50" s="4" t="s">
        <v>46</v>
      </c>
      <c r="M50" s="4" t="s">
        <v>45</v>
      </c>
      <c r="N50" s="3">
        <v>6.9147386859999997</v>
      </c>
      <c r="O50" s="3" t="s">
        <v>47</v>
      </c>
      <c r="P50" s="1"/>
    </row>
    <row r="51" spans="2:16" ht="15.75" hidden="1" thickBot="1">
      <c r="B51" s="4" t="s">
        <v>199</v>
      </c>
      <c r="C51" s="4" t="s">
        <v>8</v>
      </c>
      <c r="D51" s="4" t="s">
        <v>117</v>
      </c>
      <c r="E51" s="4" t="s">
        <v>17</v>
      </c>
      <c r="F51" s="3">
        <v>48</v>
      </c>
      <c r="G51" s="4" t="s">
        <v>195</v>
      </c>
      <c r="H51" s="4" t="s">
        <v>14</v>
      </c>
      <c r="I51" s="4"/>
      <c r="J51" s="4" t="s">
        <v>152</v>
      </c>
      <c r="K51" s="4" t="s">
        <v>151</v>
      </c>
      <c r="L51" s="4" t="s">
        <v>197</v>
      </c>
      <c r="M51" s="4" t="s">
        <v>196</v>
      </c>
      <c r="N51" s="3">
        <v>8.6974405739999998</v>
      </c>
      <c r="O51" s="3" t="s">
        <v>198</v>
      </c>
      <c r="P51" s="1"/>
    </row>
    <row r="52" spans="2:16" ht="15.75" hidden="1" thickBot="1">
      <c r="B52" s="4" t="s">
        <v>203</v>
      </c>
      <c r="C52" s="4" t="s">
        <v>8</v>
      </c>
      <c r="D52" s="4" t="s">
        <v>117</v>
      </c>
      <c r="E52" s="4" t="s">
        <v>17</v>
      </c>
      <c r="F52" s="3">
        <v>49</v>
      </c>
      <c r="G52" s="4" t="s">
        <v>44</v>
      </c>
      <c r="H52" s="4" t="s">
        <v>14</v>
      </c>
      <c r="I52" s="4"/>
      <c r="J52" s="4" t="s">
        <v>152</v>
      </c>
      <c r="K52" s="4" t="s">
        <v>151</v>
      </c>
      <c r="L52" s="4" t="s">
        <v>201</v>
      </c>
      <c r="M52" s="4" t="s">
        <v>200</v>
      </c>
      <c r="N52" s="3">
        <v>16.754845370000002</v>
      </c>
      <c r="O52" s="3" t="s">
        <v>202</v>
      </c>
      <c r="P52" s="1"/>
    </row>
    <row r="53" spans="2:16" ht="15.75" hidden="1" thickBot="1">
      <c r="B53" s="4" t="s">
        <v>207</v>
      </c>
      <c r="C53" s="4" t="s">
        <v>8</v>
      </c>
      <c r="D53" s="4" t="s">
        <v>117</v>
      </c>
      <c r="E53" s="4" t="s">
        <v>17</v>
      </c>
      <c r="F53" s="3">
        <v>50</v>
      </c>
      <c r="G53" s="4" t="s">
        <v>195</v>
      </c>
      <c r="H53" s="4" t="s">
        <v>14</v>
      </c>
      <c r="I53" s="4"/>
      <c r="J53" s="4" t="s">
        <v>152</v>
      </c>
      <c r="K53" s="4" t="s">
        <v>151</v>
      </c>
      <c r="L53" s="4" t="s">
        <v>205</v>
      </c>
      <c r="M53" s="4" t="s">
        <v>204</v>
      </c>
      <c r="N53" s="3">
        <v>8.0141250050000004</v>
      </c>
      <c r="O53" s="3" t="s">
        <v>206</v>
      </c>
      <c r="P53" s="1"/>
    </row>
    <row r="54" spans="2:16" ht="15.75" hidden="1" thickBot="1">
      <c r="B54" s="4" t="s">
        <v>211</v>
      </c>
      <c r="C54" s="4" t="s">
        <v>8</v>
      </c>
      <c r="D54" s="4" t="s">
        <v>117</v>
      </c>
      <c r="E54" s="4" t="s">
        <v>17</v>
      </c>
      <c r="F54" s="3">
        <v>51</v>
      </c>
      <c r="G54" s="4" t="s">
        <v>67</v>
      </c>
      <c r="H54" s="4" t="s">
        <v>14</v>
      </c>
      <c r="I54" s="4"/>
      <c r="J54" s="4" t="s">
        <v>152</v>
      </c>
      <c r="K54" s="4" t="s">
        <v>151</v>
      </c>
      <c r="L54" s="4" t="s">
        <v>209</v>
      </c>
      <c r="M54" s="4" t="s">
        <v>208</v>
      </c>
      <c r="N54" s="3">
        <v>1.2900286379999999</v>
      </c>
      <c r="O54" s="3" t="s">
        <v>210</v>
      </c>
      <c r="P54" s="1"/>
    </row>
    <row r="55" spans="2:16" ht="15.75" hidden="1" thickBot="1">
      <c r="B55" s="4" t="s">
        <v>215</v>
      </c>
      <c r="C55" s="4" t="s">
        <v>8</v>
      </c>
      <c r="D55" s="4" t="s">
        <v>117</v>
      </c>
      <c r="E55" s="4" t="s">
        <v>17</v>
      </c>
      <c r="F55" s="3">
        <v>52</v>
      </c>
      <c r="G55" s="4" t="s">
        <v>28</v>
      </c>
      <c r="H55" s="4" t="s">
        <v>14</v>
      </c>
      <c r="I55" s="4"/>
      <c r="J55" s="4" t="s">
        <v>152</v>
      </c>
      <c r="K55" s="4" t="s">
        <v>151</v>
      </c>
      <c r="L55" s="4" t="s">
        <v>213</v>
      </c>
      <c r="M55" s="4" t="s">
        <v>212</v>
      </c>
      <c r="N55" s="3">
        <v>41.742486016000001</v>
      </c>
      <c r="O55" s="3" t="s">
        <v>214</v>
      </c>
      <c r="P55" s="1"/>
    </row>
    <row r="56" spans="2:16" ht="15.75" hidden="1" thickBot="1">
      <c r="B56" s="4" t="s">
        <v>52</v>
      </c>
      <c r="C56" s="4" t="s">
        <v>8</v>
      </c>
      <c r="D56" s="4" t="s">
        <v>117</v>
      </c>
      <c r="E56" s="4" t="s">
        <v>17</v>
      </c>
      <c r="F56" s="3">
        <v>53</v>
      </c>
      <c r="G56" s="4" t="s">
        <v>28</v>
      </c>
      <c r="H56" s="4" t="s">
        <v>14</v>
      </c>
      <c r="I56" s="4"/>
      <c r="J56" s="4" t="s">
        <v>152</v>
      </c>
      <c r="K56" s="4" t="s">
        <v>151</v>
      </c>
      <c r="L56" s="4" t="s">
        <v>50</v>
      </c>
      <c r="M56" s="4" t="s">
        <v>49</v>
      </c>
      <c r="N56" s="3">
        <v>3.410979191</v>
      </c>
      <c r="O56" s="3" t="s">
        <v>51</v>
      </c>
      <c r="P56" s="1"/>
    </row>
    <row r="57" spans="2:16" ht="15.75" hidden="1" thickBot="1">
      <c r="B57" s="4" t="s">
        <v>56</v>
      </c>
      <c r="C57" s="4" t="s">
        <v>8</v>
      </c>
      <c r="D57" s="4" t="s">
        <v>117</v>
      </c>
      <c r="E57" s="4" t="s">
        <v>17</v>
      </c>
      <c r="F57" s="3">
        <v>54</v>
      </c>
      <c r="G57" s="4" t="s">
        <v>28</v>
      </c>
      <c r="H57" s="4" t="s">
        <v>14</v>
      </c>
      <c r="I57" s="4"/>
      <c r="J57" s="4" t="s">
        <v>152</v>
      </c>
      <c r="K57" s="4" t="s">
        <v>151</v>
      </c>
      <c r="L57" s="4" t="s">
        <v>54</v>
      </c>
      <c r="M57" s="4" t="s">
        <v>53</v>
      </c>
      <c r="N57" s="3">
        <v>11.365065755</v>
      </c>
      <c r="O57" s="3" t="s">
        <v>55</v>
      </c>
      <c r="P57" s="1"/>
    </row>
    <row r="58" spans="2:16" ht="15.75" hidden="1" thickBot="1">
      <c r="B58" s="4" t="s">
        <v>60</v>
      </c>
      <c r="C58" s="4" t="s">
        <v>8</v>
      </c>
      <c r="D58" s="4" t="s">
        <v>117</v>
      </c>
      <c r="E58" s="4" t="s">
        <v>17</v>
      </c>
      <c r="F58" s="3">
        <v>55</v>
      </c>
      <c r="G58" s="4" t="s">
        <v>28</v>
      </c>
      <c r="H58" s="4" t="s">
        <v>14</v>
      </c>
      <c r="I58" s="4"/>
      <c r="J58" s="4" t="s">
        <v>152</v>
      </c>
      <c r="K58" s="4" t="s">
        <v>151</v>
      </c>
      <c r="L58" s="4" t="s">
        <v>58</v>
      </c>
      <c r="M58" s="4" t="s">
        <v>57</v>
      </c>
      <c r="N58" s="3">
        <v>68.675145549000007</v>
      </c>
      <c r="O58" s="3" t="s">
        <v>59</v>
      </c>
      <c r="P58" s="1"/>
    </row>
    <row r="59" spans="2:16" ht="15.75" hidden="1" thickBot="1">
      <c r="B59" s="4" t="s">
        <v>219</v>
      </c>
      <c r="C59" s="4" t="s">
        <v>8</v>
      </c>
      <c r="D59" s="4" t="s">
        <v>117</v>
      </c>
      <c r="E59" s="4" t="s">
        <v>17</v>
      </c>
      <c r="F59" s="3">
        <v>56</v>
      </c>
      <c r="G59" s="4" t="s">
        <v>13</v>
      </c>
      <c r="H59" s="4" t="s">
        <v>14</v>
      </c>
      <c r="I59" s="4"/>
      <c r="J59" s="4" t="s">
        <v>152</v>
      </c>
      <c r="K59" s="4" t="s">
        <v>151</v>
      </c>
      <c r="L59" s="4" t="s">
        <v>217</v>
      </c>
      <c r="M59" s="4" t="s">
        <v>216</v>
      </c>
      <c r="N59" s="3">
        <v>111.283593732</v>
      </c>
      <c r="O59" s="3" t="s">
        <v>218</v>
      </c>
      <c r="P59" s="1"/>
    </row>
    <row r="60" spans="2:16" ht="15.75" hidden="1" thickBot="1">
      <c r="B60" s="4" t="s">
        <v>225</v>
      </c>
      <c r="C60" s="4" t="s">
        <v>8</v>
      </c>
      <c r="D60" s="4" t="s">
        <v>117</v>
      </c>
      <c r="E60" s="4" t="s">
        <v>17</v>
      </c>
      <c r="F60" s="3">
        <v>57</v>
      </c>
      <c r="G60" s="4" t="s">
        <v>13</v>
      </c>
      <c r="H60" s="4" t="s">
        <v>14</v>
      </c>
      <c r="I60" s="4"/>
      <c r="J60" s="4" t="s">
        <v>221</v>
      </c>
      <c r="K60" s="4" t="s">
        <v>220</v>
      </c>
      <c r="L60" s="4" t="s">
        <v>223</v>
      </c>
      <c r="M60" s="4" t="s">
        <v>222</v>
      </c>
      <c r="N60" s="3">
        <v>0.65816032700000004</v>
      </c>
      <c r="O60" s="3" t="s">
        <v>224</v>
      </c>
      <c r="P60" s="1"/>
    </row>
    <row r="61" spans="2:16" ht="15.75" hidden="1" thickBot="1">
      <c r="B61" s="4" t="s">
        <v>229</v>
      </c>
      <c r="C61" s="4" t="s">
        <v>8</v>
      </c>
      <c r="D61" s="4" t="s">
        <v>117</v>
      </c>
      <c r="E61" s="4" t="s">
        <v>17</v>
      </c>
      <c r="F61" s="3">
        <v>58</v>
      </c>
      <c r="G61" s="4" t="s">
        <v>13</v>
      </c>
      <c r="H61" s="4" t="s">
        <v>14</v>
      </c>
      <c r="I61" s="4"/>
      <c r="J61" s="4" t="s">
        <v>221</v>
      </c>
      <c r="K61" s="4" t="s">
        <v>220</v>
      </c>
      <c r="L61" s="4" t="s">
        <v>227</v>
      </c>
      <c r="M61" s="4" t="s">
        <v>226</v>
      </c>
      <c r="N61" s="3">
        <v>0.66571298700000003</v>
      </c>
      <c r="O61" s="3" t="s">
        <v>228</v>
      </c>
      <c r="P61" s="1"/>
    </row>
    <row r="62" spans="2:16" ht="15.75" hidden="1" thickBot="1">
      <c r="B62" s="4" t="s">
        <v>233</v>
      </c>
      <c r="C62" s="4" t="s">
        <v>8</v>
      </c>
      <c r="D62" s="4" t="s">
        <v>117</v>
      </c>
      <c r="E62" s="4" t="s">
        <v>17</v>
      </c>
      <c r="F62" s="3">
        <v>59</v>
      </c>
      <c r="G62" s="4" t="s">
        <v>13</v>
      </c>
      <c r="H62" s="4" t="s">
        <v>14</v>
      </c>
      <c r="I62" s="4"/>
      <c r="J62" s="4" t="s">
        <v>221</v>
      </c>
      <c r="K62" s="4" t="s">
        <v>220</v>
      </c>
      <c r="L62" s="4" t="s">
        <v>231</v>
      </c>
      <c r="M62" s="4" t="s">
        <v>230</v>
      </c>
      <c r="N62" s="3">
        <v>0.456126686</v>
      </c>
      <c r="O62" s="3" t="s">
        <v>232</v>
      </c>
      <c r="P62" s="1"/>
    </row>
    <row r="63" spans="2:16" ht="15.75" hidden="1" thickBot="1">
      <c r="B63" s="4" t="s">
        <v>240</v>
      </c>
      <c r="C63" s="4" t="s">
        <v>8</v>
      </c>
      <c r="D63" s="4" t="s">
        <v>236</v>
      </c>
      <c r="E63" s="4" t="s">
        <v>17</v>
      </c>
      <c r="F63" s="3">
        <v>60</v>
      </c>
      <c r="G63" s="4" t="s">
        <v>28</v>
      </c>
      <c r="H63" s="4" t="s">
        <v>14</v>
      </c>
      <c r="I63" s="4"/>
      <c r="J63" s="4" t="s">
        <v>235</v>
      </c>
      <c r="K63" s="4" t="s">
        <v>234</v>
      </c>
      <c r="L63" s="4" t="s">
        <v>238</v>
      </c>
      <c r="M63" s="4" t="s">
        <v>237</v>
      </c>
      <c r="N63" s="3">
        <v>7.6590314000000007E-2</v>
      </c>
      <c r="O63" s="3" t="s">
        <v>239</v>
      </c>
      <c r="P63" s="1"/>
    </row>
    <row r="64" spans="2:16" ht="15.75" hidden="1" thickBot="1">
      <c r="B64" s="4" t="s">
        <v>156</v>
      </c>
      <c r="C64" s="4" t="s">
        <v>8</v>
      </c>
      <c r="D64" s="4" t="s">
        <v>236</v>
      </c>
      <c r="E64" s="4" t="s">
        <v>17</v>
      </c>
      <c r="F64" s="3">
        <v>61</v>
      </c>
      <c r="G64" s="4" t="s">
        <v>28</v>
      </c>
      <c r="H64" s="4" t="s">
        <v>14</v>
      </c>
      <c r="I64" s="4"/>
      <c r="J64" s="4" t="s">
        <v>235</v>
      </c>
      <c r="K64" s="4" t="s">
        <v>234</v>
      </c>
      <c r="L64" s="4" t="s">
        <v>154</v>
      </c>
      <c r="M64" s="4" t="s">
        <v>153</v>
      </c>
      <c r="N64" s="3">
        <v>0.11595124499999999</v>
      </c>
      <c r="O64" s="3" t="s">
        <v>155</v>
      </c>
      <c r="P64" s="1"/>
    </row>
    <row r="65" spans="2:16" ht="15.75" hidden="1" thickBot="1">
      <c r="B65" s="4" t="s">
        <v>160</v>
      </c>
      <c r="C65" s="4" t="s">
        <v>8</v>
      </c>
      <c r="D65" s="4" t="s">
        <v>236</v>
      </c>
      <c r="E65" s="4" t="s">
        <v>17</v>
      </c>
      <c r="F65" s="3">
        <v>62</v>
      </c>
      <c r="G65" s="4" t="s">
        <v>28</v>
      </c>
      <c r="H65" s="4" t="s">
        <v>14</v>
      </c>
      <c r="I65" s="4"/>
      <c r="J65" s="4" t="s">
        <v>235</v>
      </c>
      <c r="K65" s="4" t="s">
        <v>234</v>
      </c>
      <c r="L65" s="4" t="s">
        <v>158</v>
      </c>
      <c r="M65" s="4" t="s">
        <v>157</v>
      </c>
      <c r="N65" s="3">
        <v>0.37787436699999999</v>
      </c>
      <c r="O65" s="3" t="s">
        <v>159</v>
      </c>
      <c r="P65" s="1"/>
    </row>
    <row r="66" spans="2:16" ht="15.75" hidden="1" thickBot="1">
      <c r="B66" s="4" t="s">
        <v>244</v>
      </c>
      <c r="C66" s="4" t="s">
        <v>8</v>
      </c>
      <c r="D66" s="4" t="s">
        <v>236</v>
      </c>
      <c r="E66" s="4" t="s">
        <v>17</v>
      </c>
      <c r="F66" s="3">
        <v>63</v>
      </c>
      <c r="G66" s="4" t="s">
        <v>28</v>
      </c>
      <c r="H66" s="4" t="s">
        <v>14</v>
      </c>
      <c r="I66" s="4"/>
      <c r="J66" s="4" t="s">
        <v>235</v>
      </c>
      <c r="K66" s="4" t="s">
        <v>234</v>
      </c>
      <c r="L66" s="4" t="s">
        <v>242</v>
      </c>
      <c r="M66" s="4" t="s">
        <v>241</v>
      </c>
      <c r="N66" s="3">
        <v>0.12914587499999999</v>
      </c>
      <c r="O66" s="3" t="s">
        <v>243</v>
      </c>
      <c r="P66" s="1"/>
    </row>
    <row r="67" spans="2:16" ht="15.75" hidden="1" thickBot="1">
      <c r="B67" s="4" t="s">
        <v>22</v>
      </c>
      <c r="C67" s="4" t="s">
        <v>8</v>
      </c>
      <c r="D67" s="4" t="s">
        <v>236</v>
      </c>
      <c r="E67" s="4" t="s">
        <v>17</v>
      </c>
      <c r="F67" s="3">
        <v>64</v>
      </c>
      <c r="G67" s="4" t="s">
        <v>13</v>
      </c>
      <c r="H67" s="4" t="s">
        <v>14</v>
      </c>
      <c r="I67" s="4"/>
      <c r="J67" s="4" t="s">
        <v>235</v>
      </c>
      <c r="K67" s="4" t="s">
        <v>234</v>
      </c>
      <c r="L67" s="4" t="s">
        <v>20</v>
      </c>
      <c r="M67" s="4" t="s">
        <v>19</v>
      </c>
      <c r="N67" s="3">
        <v>0.23970623199999999</v>
      </c>
      <c r="O67" s="3" t="s">
        <v>21</v>
      </c>
      <c r="P67" s="1"/>
    </row>
    <row r="68" spans="2:16" ht="15.75" hidden="1" thickBot="1">
      <c r="B68" s="4" t="s">
        <v>27</v>
      </c>
      <c r="C68" s="4" t="s">
        <v>8</v>
      </c>
      <c r="D68" s="4" t="s">
        <v>236</v>
      </c>
      <c r="E68" s="4" t="s">
        <v>17</v>
      </c>
      <c r="F68" s="3">
        <v>65</v>
      </c>
      <c r="G68" s="4" t="s">
        <v>23</v>
      </c>
      <c r="H68" s="4" t="s">
        <v>14</v>
      </c>
      <c r="I68" s="4"/>
      <c r="J68" s="4" t="s">
        <v>235</v>
      </c>
      <c r="K68" s="4" t="s">
        <v>234</v>
      </c>
      <c r="L68" s="4" t="s">
        <v>25</v>
      </c>
      <c r="M68" s="4" t="s">
        <v>24</v>
      </c>
      <c r="N68" s="3">
        <v>0.10914908800000001</v>
      </c>
      <c r="O68" s="3" t="s">
        <v>26</v>
      </c>
      <c r="P68" s="1"/>
    </row>
    <row r="69" spans="2:16" ht="15.75" hidden="1" thickBot="1">
      <c r="B69" s="4" t="s">
        <v>249</v>
      </c>
      <c r="C69" s="4" t="s">
        <v>8</v>
      </c>
      <c r="D69" s="4" t="s">
        <v>236</v>
      </c>
      <c r="E69" s="4" t="s">
        <v>17</v>
      </c>
      <c r="F69" s="3">
        <v>66</v>
      </c>
      <c r="G69" s="4" t="s">
        <v>245</v>
      </c>
      <c r="H69" s="4" t="s">
        <v>14</v>
      </c>
      <c r="I69" s="4"/>
      <c r="J69" s="4" t="s">
        <v>235</v>
      </c>
      <c r="K69" s="4" t="s">
        <v>234</v>
      </c>
      <c r="L69" s="4" t="s">
        <v>247</v>
      </c>
      <c r="M69" s="4" t="s">
        <v>246</v>
      </c>
      <c r="N69" s="3">
        <v>0.148857084</v>
      </c>
      <c r="O69" s="3" t="s">
        <v>248</v>
      </c>
      <c r="P69" s="1"/>
    </row>
    <row r="70" spans="2:16" ht="15.75" hidden="1" thickBot="1">
      <c r="B70" s="4" t="s">
        <v>253</v>
      </c>
      <c r="C70" s="4" t="s">
        <v>8</v>
      </c>
      <c r="D70" s="4" t="s">
        <v>236</v>
      </c>
      <c r="E70" s="4" t="s">
        <v>17</v>
      </c>
      <c r="F70" s="3">
        <v>67</v>
      </c>
      <c r="G70" s="4" t="s">
        <v>28</v>
      </c>
      <c r="H70" s="4" t="s">
        <v>14</v>
      </c>
      <c r="I70" s="4"/>
      <c r="J70" s="4" t="s">
        <v>235</v>
      </c>
      <c r="K70" s="4" t="s">
        <v>234</v>
      </c>
      <c r="L70" s="4" t="s">
        <v>251</v>
      </c>
      <c r="M70" s="4" t="s">
        <v>250</v>
      </c>
      <c r="N70" s="3">
        <v>0.51402635500000005</v>
      </c>
      <c r="O70" s="3" t="s">
        <v>252</v>
      </c>
      <c r="P70" s="1"/>
    </row>
    <row r="71" spans="2:16" ht="15.75" hidden="1" thickBot="1">
      <c r="B71" s="4" t="s">
        <v>257</v>
      </c>
      <c r="C71" s="4" t="s">
        <v>8</v>
      </c>
      <c r="D71" s="4" t="s">
        <v>236</v>
      </c>
      <c r="E71" s="4" t="s">
        <v>17</v>
      </c>
      <c r="F71" s="3">
        <v>68</v>
      </c>
      <c r="G71" s="4" t="s">
        <v>28</v>
      </c>
      <c r="H71" s="4" t="s">
        <v>14</v>
      </c>
      <c r="I71" s="4"/>
      <c r="J71" s="4" t="s">
        <v>235</v>
      </c>
      <c r="K71" s="4" t="s">
        <v>234</v>
      </c>
      <c r="L71" s="4" t="s">
        <v>255</v>
      </c>
      <c r="M71" s="4" t="s">
        <v>254</v>
      </c>
      <c r="N71" s="3">
        <v>0.76141671600000005</v>
      </c>
      <c r="O71" s="3" t="s">
        <v>256</v>
      </c>
      <c r="P71" s="1"/>
    </row>
    <row r="72" spans="2:16" ht="15.75" hidden="1" thickBot="1">
      <c r="B72" s="4" t="s">
        <v>164</v>
      </c>
      <c r="C72" s="4" t="s">
        <v>8</v>
      </c>
      <c r="D72" s="4" t="s">
        <v>236</v>
      </c>
      <c r="E72" s="4" t="s">
        <v>17</v>
      </c>
      <c r="F72" s="3">
        <v>69</v>
      </c>
      <c r="G72" s="4" t="s">
        <v>28</v>
      </c>
      <c r="H72" s="4" t="s">
        <v>14</v>
      </c>
      <c r="I72" s="4"/>
      <c r="J72" s="4" t="s">
        <v>235</v>
      </c>
      <c r="K72" s="4" t="s">
        <v>234</v>
      </c>
      <c r="L72" s="4" t="s">
        <v>162</v>
      </c>
      <c r="M72" s="4" t="s">
        <v>161</v>
      </c>
      <c r="N72" s="3">
        <v>0.55837793000000002</v>
      </c>
      <c r="O72" s="3" t="s">
        <v>163</v>
      </c>
      <c r="P72" s="1"/>
    </row>
    <row r="73" spans="2:16" ht="15.75" hidden="1" thickBot="1">
      <c r="B73" s="4" t="s">
        <v>168</v>
      </c>
      <c r="C73" s="4" t="s">
        <v>8</v>
      </c>
      <c r="D73" s="4" t="s">
        <v>236</v>
      </c>
      <c r="E73" s="4" t="s">
        <v>17</v>
      </c>
      <c r="F73" s="3">
        <v>70</v>
      </c>
      <c r="G73" s="4" t="s">
        <v>28</v>
      </c>
      <c r="H73" s="4" t="s">
        <v>14</v>
      </c>
      <c r="I73" s="4"/>
      <c r="J73" s="4" t="s">
        <v>235</v>
      </c>
      <c r="K73" s="4" t="s">
        <v>234</v>
      </c>
      <c r="L73" s="4" t="s">
        <v>166</v>
      </c>
      <c r="M73" s="4" t="s">
        <v>165</v>
      </c>
      <c r="N73" s="3">
        <v>0.202283079</v>
      </c>
      <c r="O73" s="3" t="s">
        <v>167</v>
      </c>
      <c r="P73" s="1"/>
    </row>
    <row r="74" spans="2:16" ht="15.75" hidden="1" thickBot="1">
      <c r="B74" s="4" t="s">
        <v>261</v>
      </c>
      <c r="C74" s="4" t="s">
        <v>8</v>
      </c>
      <c r="D74" s="4" t="s">
        <v>236</v>
      </c>
      <c r="E74" s="4" t="s">
        <v>17</v>
      </c>
      <c r="F74" s="3">
        <v>71</v>
      </c>
      <c r="G74" s="4" t="s">
        <v>28</v>
      </c>
      <c r="H74" s="4" t="s">
        <v>14</v>
      </c>
      <c r="I74" s="4"/>
      <c r="J74" s="4" t="s">
        <v>235</v>
      </c>
      <c r="K74" s="4" t="s">
        <v>234</v>
      </c>
      <c r="L74" s="4" t="s">
        <v>259</v>
      </c>
      <c r="M74" s="4" t="s">
        <v>258</v>
      </c>
      <c r="N74" s="3">
        <v>0.59738197999999998</v>
      </c>
      <c r="O74" s="3" t="s">
        <v>260</v>
      </c>
      <c r="P74" s="1"/>
    </row>
    <row r="75" spans="2:16" ht="15.75" hidden="1" thickBot="1">
      <c r="B75" s="4" t="s">
        <v>265</v>
      </c>
      <c r="C75" s="4" t="s">
        <v>8</v>
      </c>
      <c r="D75" s="4" t="s">
        <v>236</v>
      </c>
      <c r="E75" s="4" t="s">
        <v>17</v>
      </c>
      <c r="F75" s="3">
        <v>72</v>
      </c>
      <c r="G75" s="4" t="s">
        <v>13</v>
      </c>
      <c r="H75" s="4" t="s">
        <v>14</v>
      </c>
      <c r="I75" s="4"/>
      <c r="J75" s="4" t="s">
        <v>235</v>
      </c>
      <c r="K75" s="4" t="s">
        <v>234</v>
      </c>
      <c r="L75" s="4" t="s">
        <v>263</v>
      </c>
      <c r="M75" s="4" t="s">
        <v>262</v>
      </c>
      <c r="N75" s="3">
        <v>1.0775714279999999</v>
      </c>
      <c r="O75" s="3" t="s">
        <v>264</v>
      </c>
      <c r="P75" s="1"/>
    </row>
    <row r="76" spans="2:16" ht="15.75" hidden="1" thickBot="1">
      <c r="B76" s="4" t="s">
        <v>269</v>
      </c>
      <c r="C76" s="4" t="s">
        <v>8</v>
      </c>
      <c r="D76" s="4" t="s">
        <v>236</v>
      </c>
      <c r="E76" s="4" t="s">
        <v>17</v>
      </c>
      <c r="F76" s="3">
        <v>73</v>
      </c>
      <c r="G76" s="4" t="s">
        <v>13</v>
      </c>
      <c r="H76" s="4" t="s">
        <v>14</v>
      </c>
      <c r="I76" s="4"/>
      <c r="J76" s="4" t="s">
        <v>235</v>
      </c>
      <c r="K76" s="4" t="s">
        <v>234</v>
      </c>
      <c r="L76" s="4" t="s">
        <v>267</v>
      </c>
      <c r="M76" s="4" t="s">
        <v>266</v>
      </c>
      <c r="N76" s="3">
        <v>2.2983997079999998</v>
      </c>
      <c r="O76" s="3" t="s">
        <v>268</v>
      </c>
      <c r="P76" s="1"/>
    </row>
    <row r="77" spans="2:16" ht="15.75" hidden="1" thickBot="1">
      <c r="B77" s="4" t="s">
        <v>172</v>
      </c>
      <c r="C77" s="4" t="s">
        <v>8</v>
      </c>
      <c r="D77" s="4" t="s">
        <v>236</v>
      </c>
      <c r="E77" s="4" t="s">
        <v>17</v>
      </c>
      <c r="F77" s="3">
        <v>74</v>
      </c>
      <c r="G77" s="4" t="s">
        <v>114</v>
      </c>
      <c r="H77" s="4" t="s">
        <v>14</v>
      </c>
      <c r="I77" s="4"/>
      <c r="J77" s="4" t="s">
        <v>235</v>
      </c>
      <c r="K77" s="4" t="s">
        <v>234</v>
      </c>
      <c r="L77" s="4" t="s">
        <v>170</v>
      </c>
      <c r="M77" s="4" t="s">
        <v>169</v>
      </c>
      <c r="N77" s="3">
        <v>6.0775712000000003E-2</v>
      </c>
      <c r="O77" s="3" t="s">
        <v>171</v>
      </c>
      <c r="P77" s="1"/>
    </row>
    <row r="78" spans="2:16" ht="15.75" hidden="1" thickBot="1">
      <c r="B78" s="4" t="s">
        <v>177</v>
      </c>
      <c r="C78" s="4" t="s">
        <v>8</v>
      </c>
      <c r="D78" s="4" t="s">
        <v>236</v>
      </c>
      <c r="E78" s="4" t="s">
        <v>17</v>
      </c>
      <c r="F78" s="3">
        <v>75</v>
      </c>
      <c r="G78" s="4" t="s">
        <v>173</v>
      </c>
      <c r="H78" s="4" t="s">
        <v>14</v>
      </c>
      <c r="I78" s="4"/>
      <c r="J78" s="4" t="s">
        <v>235</v>
      </c>
      <c r="K78" s="4" t="s">
        <v>234</v>
      </c>
      <c r="L78" s="4" t="s">
        <v>175</v>
      </c>
      <c r="M78" s="4" t="s">
        <v>174</v>
      </c>
      <c r="N78" s="3">
        <v>3.0265183000000001E-2</v>
      </c>
      <c r="O78" s="3" t="s">
        <v>176</v>
      </c>
      <c r="P78" s="1"/>
    </row>
    <row r="79" spans="2:16" ht="15.75" hidden="1" thickBot="1">
      <c r="B79" s="4" t="s">
        <v>182</v>
      </c>
      <c r="C79" s="4" t="s">
        <v>8</v>
      </c>
      <c r="D79" s="4" t="s">
        <v>236</v>
      </c>
      <c r="E79" s="4" t="s">
        <v>17</v>
      </c>
      <c r="F79" s="3">
        <v>76</v>
      </c>
      <c r="G79" s="4" t="s">
        <v>178</v>
      </c>
      <c r="H79" s="4" t="s">
        <v>14</v>
      </c>
      <c r="I79" s="4"/>
      <c r="J79" s="4" t="s">
        <v>235</v>
      </c>
      <c r="K79" s="4" t="s">
        <v>234</v>
      </c>
      <c r="L79" s="4" t="s">
        <v>180</v>
      </c>
      <c r="M79" s="4" t="s">
        <v>179</v>
      </c>
      <c r="N79" s="3">
        <v>1.9126293999999999E-2</v>
      </c>
      <c r="O79" s="3" t="s">
        <v>181</v>
      </c>
      <c r="P79" s="1"/>
    </row>
    <row r="80" spans="2:16" ht="15.75" hidden="1" thickBot="1">
      <c r="B80" s="4" t="s">
        <v>186</v>
      </c>
      <c r="C80" s="4" t="s">
        <v>8</v>
      </c>
      <c r="D80" s="4" t="s">
        <v>236</v>
      </c>
      <c r="E80" s="4" t="s">
        <v>17</v>
      </c>
      <c r="F80" s="3">
        <v>77</v>
      </c>
      <c r="G80" s="4" t="s">
        <v>173</v>
      </c>
      <c r="H80" s="4" t="s">
        <v>14</v>
      </c>
      <c r="I80" s="4"/>
      <c r="J80" s="4" t="s">
        <v>235</v>
      </c>
      <c r="K80" s="4" t="s">
        <v>234</v>
      </c>
      <c r="L80" s="4" t="s">
        <v>184</v>
      </c>
      <c r="M80" s="4" t="s">
        <v>183</v>
      </c>
      <c r="N80" s="3">
        <v>2.3166088000000001E-2</v>
      </c>
      <c r="O80" s="3" t="s">
        <v>185</v>
      </c>
      <c r="P80" s="1"/>
    </row>
    <row r="81" spans="2:16" ht="15.75" hidden="1" thickBot="1">
      <c r="B81" s="4" t="s">
        <v>273</v>
      </c>
      <c r="C81" s="4" t="s">
        <v>8</v>
      </c>
      <c r="D81" s="4" t="s">
        <v>236</v>
      </c>
      <c r="E81" s="4" t="s">
        <v>17</v>
      </c>
      <c r="F81" s="3">
        <v>78</v>
      </c>
      <c r="G81" s="4" t="s">
        <v>28</v>
      </c>
      <c r="H81" s="4" t="s">
        <v>14</v>
      </c>
      <c r="I81" s="4"/>
      <c r="J81" s="4" t="s">
        <v>235</v>
      </c>
      <c r="K81" s="4" t="s">
        <v>234</v>
      </c>
      <c r="L81" s="4" t="s">
        <v>271</v>
      </c>
      <c r="M81" s="4" t="s">
        <v>270</v>
      </c>
      <c r="N81" s="3">
        <v>0.57093259900000004</v>
      </c>
      <c r="O81" s="3" t="s">
        <v>272</v>
      </c>
      <c r="P81" s="1"/>
    </row>
    <row r="82" spans="2:16" ht="15.75" hidden="1" thickBot="1">
      <c r="B82" s="4" t="s">
        <v>190</v>
      </c>
      <c r="C82" s="4" t="s">
        <v>8</v>
      </c>
      <c r="D82" s="4" t="s">
        <v>236</v>
      </c>
      <c r="E82" s="4" t="s">
        <v>17</v>
      </c>
      <c r="F82" s="3">
        <v>79</v>
      </c>
      <c r="G82" s="4" t="s">
        <v>28</v>
      </c>
      <c r="H82" s="4" t="s">
        <v>14</v>
      </c>
      <c r="I82" s="4"/>
      <c r="J82" s="4" t="s">
        <v>235</v>
      </c>
      <c r="K82" s="4" t="s">
        <v>234</v>
      </c>
      <c r="L82" s="4" t="s">
        <v>188</v>
      </c>
      <c r="M82" s="4" t="s">
        <v>187</v>
      </c>
      <c r="N82" s="3">
        <v>8.1615722000000002E-2</v>
      </c>
      <c r="O82" s="3" t="s">
        <v>189</v>
      </c>
      <c r="P82" s="1"/>
    </row>
    <row r="83" spans="2:16" ht="15.75" hidden="1" thickBot="1">
      <c r="B83" s="4" t="s">
        <v>277</v>
      </c>
      <c r="C83" s="4" t="s">
        <v>8</v>
      </c>
      <c r="D83" s="4" t="s">
        <v>236</v>
      </c>
      <c r="E83" s="4" t="s">
        <v>17</v>
      </c>
      <c r="F83" s="3">
        <v>80</v>
      </c>
      <c r="G83" s="4" t="s">
        <v>28</v>
      </c>
      <c r="H83" s="4" t="s">
        <v>14</v>
      </c>
      <c r="I83" s="4"/>
      <c r="J83" s="4" t="s">
        <v>235</v>
      </c>
      <c r="K83" s="4" t="s">
        <v>234</v>
      </c>
      <c r="L83" s="4" t="s">
        <v>275</v>
      </c>
      <c r="M83" s="4" t="s">
        <v>274</v>
      </c>
      <c r="N83" s="3">
        <v>1.577699645</v>
      </c>
      <c r="O83" s="3" t="s">
        <v>276</v>
      </c>
      <c r="P83" s="1"/>
    </row>
    <row r="84" spans="2:16" ht="15.75" hidden="1" thickBot="1">
      <c r="B84" s="4" t="s">
        <v>281</v>
      </c>
      <c r="C84" s="4" t="s">
        <v>8</v>
      </c>
      <c r="D84" s="4" t="s">
        <v>236</v>
      </c>
      <c r="E84" s="4" t="s">
        <v>17</v>
      </c>
      <c r="F84" s="3">
        <v>81</v>
      </c>
      <c r="G84" s="4" t="s">
        <v>114</v>
      </c>
      <c r="H84" s="4" t="s">
        <v>14</v>
      </c>
      <c r="I84" s="4"/>
      <c r="J84" s="4" t="s">
        <v>235</v>
      </c>
      <c r="K84" s="4" t="s">
        <v>234</v>
      </c>
      <c r="L84" s="4" t="s">
        <v>279</v>
      </c>
      <c r="M84" s="4" t="s">
        <v>278</v>
      </c>
      <c r="N84" s="3">
        <v>0.95852096099999995</v>
      </c>
      <c r="O84" s="3" t="s">
        <v>280</v>
      </c>
      <c r="P84" s="1"/>
    </row>
    <row r="85" spans="2:16" ht="15.75" hidden="1" thickBot="1">
      <c r="B85" s="4" t="s">
        <v>194</v>
      </c>
      <c r="C85" s="4" t="s">
        <v>8</v>
      </c>
      <c r="D85" s="4" t="s">
        <v>236</v>
      </c>
      <c r="E85" s="4" t="s">
        <v>17</v>
      </c>
      <c r="F85" s="3">
        <v>82</v>
      </c>
      <c r="G85" s="4" t="s">
        <v>114</v>
      </c>
      <c r="H85" s="4" t="s">
        <v>14</v>
      </c>
      <c r="I85" s="4"/>
      <c r="J85" s="4" t="s">
        <v>235</v>
      </c>
      <c r="K85" s="4" t="s">
        <v>234</v>
      </c>
      <c r="L85" s="4" t="s">
        <v>192</v>
      </c>
      <c r="M85" s="4" t="s">
        <v>191</v>
      </c>
      <c r="N85" s="3">
        <v>0.13158125300000001</v>
      </c>
      <c r="O85" s="3" t="s">
        <v>193</v>
      </c>
      <c r="P85" s="1"/>
    </row>
    <row r="86" spans="2:16" ht="15.75" hidden="1" thickBot="1">
      <c r="B86" s="4" t="s">
        <v>48</v>
      </c>
      <c r="C86" s="4" t="s">
        <v>8</v>
      </c>
      <c r="D86" s="4" t="s">
        <v>236</v>
      </c>
      <c r="E86" s="4" t="s">
        <v>17</v>
      </c>
      <c r="F86" s="3">
        <v>83</v>
      </c>
      <c r="G86" s="4" t="s">
        <v>44</v>
      </c>
      <c r="H86" s="4" t="s">
        <v>14</v>
      </c>
      <c r="I86" s="4"/>
      <c r="J86" s="4" t="s">
        <v>235</v>
      </c>
      <c r="K86" s="4" t="s">
        <v>234</v>
      </c>
      <c r="L86" s="4" t="s">
        <v>46</v>
      </c>
      <c r="M86" s="4" t="s">
        <v>45</v>
      </c>
      <c r="N86" s="3">
        <v>0.13201785099999999</v>
      </c>
      <c r="O86" s="3" t="s">
        <v>47</v>
      </c>
      <c r="P86" s="1"/>
    </row>
    <row r="87" spans="2:16" ht="15.75" hidden="1" thickBot="1">
      <c r="B87" s="4" t="s">
        <v>203</v>
      </c>
      <c r="C87" s="4" t="s">
        <v>8</v>
      </c>
      <c r="D87" s="4" t="s">
        <v>236</v>
      </c>
      <c r="E87" s="4" t="s">
        <v>17</v>
      </c>
      <c r="F87" s="3">
        <v>84</v>
      </c>
      <c r="G87" s="4" t="s">
        <v>44</v>
      </c>
      <c r="H87" s="4" t="s">
        <v>14</v>
      </c>
      <c r="I87" s="4"/>
      <c r="J87" s="4" t="s">
        <v>235</v>
      </c>
      <c r="K87" s="4" t="s">
        <v>234</v>
      </c>
      <c r="L87" s="4" t="s">
        <v>201</v>
      </c>
      <c r="M87" s="4" t="s">
        <v>200</v>
      </c>
      <c r="N87" s="3">
        <v>0.18700925299999999</v>
      </c>
      <c r="O87" s="3" t="s">
        <v>202</v>
      </c>
      <c r="P87" s="1"/>
    </row>
    <row r="88" spans="2:16" ht="15.75" hidden="1" thickBot="1">
      <c r="B88" s="4" t="s">
        <v>211</v>
      </c>
      <c r="C88" s="4" t="s">
        <v>8</v>
      </c>
      <c r="D88" s="4" t="s">
        <v>236</v>
      </c>
      <c r="E88" s="4" t="s">
        <v>17</v>
      </c>
      <c r="F88" s="3">
        <v>85</v>
      </c>
      <c r="G88" s="4" t="s">
        <v>67</v>
      </c>
      <c r="H88" s="4" t="s">
        <v>14</v>
      </c>
      <c r="I88" s="4"/>
      <c r="J88" s="4" t="s">
        <v>235</v>
      </c>
      <c r="K88" s="4" t="s">
        <v>234</v>
      </c>
      <c r="L88" s="4" t="s">
        <v>209</v>
      </c>
      <c r="M88" s="4" t="s">
        <v>208</v>
      </c>
      <c r="N88" s="3">
        <v>7.9335919999999997E-3</v>
      </c>
      <c r="O88" s="3" t="s">
        <v>210</v>
      </c>
      <c r="P88" s="1"/>
    </row>
    <row r="89" spans="2:16" ht="15.75" hidden="1" thickBot="1">
      <c r="B89" s="4" t="s">
        <v>215</v>
      </c>
      <c r="C89" s="4" t="s">
        <v>8</v>
      </c>
      <c r="D89" s="4" t="s">
        <v>236</v>
      </c>
      <c r="E89" s="4" t="s">
        <v>17</v>
      </c>
      <c r="F89" s="3">
        <v>86</v>
      </c>
      <c r="G89" s="4" t="s">
        <v>28</v>
      </c>
      <c r="H89" s="4" t="s">
        <v>14</v>
      </c>
      <c r="I89" s="4"/>
      <c r="J89" s="4" t="s">
        <v>235</v>
      </c>
      <c r="K89" s="4" t="s">
        <v>234</v>
      </c>
      <c r="L89" s="4" t="s">
        <v>213</v>
      </c>
      <c r="M89" s="4" t="s">
        <v>212</v>
      </c>
      <c r="N89" s="3">
        <v>0.465908873</v>
      </c>
      <c r="O89" s="3" t="s">
        <v>214</v>
      </c>
      <c r="P89" s="1"/>
    </row>
    <row r="90" spans="2:16" ht="15.75" hidden="1" thickBot="1">
      <c r="B90" s="4" t="s">
        <v>52</v>
      </c>
      <c r="C90" s="4" t="s">
        <v>8</v>
      </c>
      <c r="D90" s="4" t="s">
        <v>236</v>
      </c>
      <c r="E90" s="4" t="s">
        <v>17</v>
      </c>
      <c r="F90" s="3">
        <v>87</v>
      </c>
      <c r="G90" s="4" t="s">
        <v>28</v>
      </c>
      <c r="H90" s="4" t="s">
        <v>14</v>
      </c>
      <c r="I90" s="4"/>
      <c r="J90" s="4" t="s">
        <v>235</v>
      </c>
      <c r="K90" s="4" t="s">
        <v>234</v>
      </c>
      <c r="L90" s="4" t="s">
        <v>50</v>
      </c>
      <c r="M90" s="4" t="s">
        <v>49</v>
      </c>
      <c r="N90" s="3">
        <v>6.5123234000000002E-2</v>
      </c>
      <c r="O90" s="3" t="s">
        <v>51</v>
      </c>
      <c r="P90" s="1"/>
    </row>
    <row r="91" spans="2:16" ht="15.75" hidden="1" thickBot="1">
      <c r="B91" s="4" t="s">
        <v>56</v>
      </c>
      <c r="C91" s="4" t="s">
        <v>8</v>
      </c>
      <c r="D91" s="4" t="s">
        <v>236</v>
      </c>
      <c r="E91" s="4" t="s">
        <v>17</v>
      </c>
      <c r="F91" s="3">
        <v>88</v>
      </c>
      <c r="G91" s="4" t="s">
        <v>28</v>
      </c>
      <c r="H91" s="4" t="s">
        <v>14</v>
      </c>
      <c r="I91" s="4"/>
      <c r="J91" s="4" t="s">
        <v>235</v>
      </c>
      <c r="K91" s="4" t="s">
        <v>234</v>
      </c>
      <c r="L91" s="4" t="s">
        <v>54</v>
      </c>
      <c r="M91" s="4" t="s">
        <v>53</v>
      </c>
      <c r="N91" s="3">
        <v>0.21698456399999999</v>
      </c>
      <c r="O91" s="3" t="s">
        <v>55</v>
      </c>
      <c r="P91" s="1"/>
    </row>
    <row r="92" spans="2:16" ht="15.75" hidden="1" thickBot="1">
      <c r="B92" s="4" t="s">
        <v>285</v>
      </c>
      <c r="C92" s="4" t="s">
        <v>8</v>
      </c>
      <c r="D92" s="4" t="s">
        <v>236</v>
      </c>
      <c r="E92" s="4" t="s">
        <v>17</v>
      </c>
      <c r="F92" s="3">
        <v>89</v>
      </c>
      <c r="G92" s="4" t="s">
        <v>28</v>
      </c>
      <c r="H92" s="4" t="s">
        <v>14</v>
      </c>
      <c r="I92" s="4"/>
      <c r="J92" s="4" t="s">
        <v>235</v>
      </c>
      <c r="K92" s="4" t="s">
        <v>234</v>
      </c>
      <c r="L92" s="4" t="s">
        <v>283</v>
      </c>
      <c r="M92" s="4" t="s">
        <v>282</v>
      </c>
      <c r="N92" s="3">
        <v>0.133353267</v>
      </c>
      <c r="O92" s="3" t="s">
        <v>284</v>
      </c>
      <c r="P92" s="1"/>
    </row>
    <row r="93" spans="2:16" ht="15.75" hidden="1" thickBot="1">
      <c r="B93" s="4" t="s">
        <v>60</v>
      </c>
      <c r="C93" s="4" t="s">
        <v>8</v>
      </c>
      <c r="D93" s="4" t="s">
        <v>236</v>
      </c>
      <c r="E93" s="4" t="s">
        <v>17</v>
      </c>
      <c r="F93" s="3">
        <v>90</v>
      </c>
      <c r="G93" s="4" t="s">
        <v>28</v>
      </c>
      <c r="H93" s="4" t="s">
        <v>14</v>
      </c>
      <c r="I93" s="4"/>
      <c r="J93" s="4" t="s">
        <v>235</v>
      </c>
      <c r="K93" s="4" t="s">
        <v>234</v>
      </c>
      <c r="L93" s="4" t="s">
        <v>58</v>
      </c>
      <c r="M93" s="4" t="s">
        <v>57</v>
      </c>
      <c r="N93" s="3">
        <v>1.311162369</v>
      </c>
      <c r="O93" s="3" t="s">
        <v>59</v>
      </c>
      <c r="P93" s="1"/>
    </row>
    <row r="94" spans="2:16" ht="15.75" hidden="1" thickBot="1">
      <c r="B94" s="4" t="s">
        <v>219</v>
      </c>
      <c r="C94" s="4" t="s">
        <v>8</v>
      </c>
      <c r="D94" s="4" t="s">
        <v>236</v>
      </c>
      <c r="E94" s="4" t="s">
        <v>17</v>
      </c>
      <c r="F94" s="3">
        <v>91</v>
      </c>
      <c r="G94" s="4" t="s">
        <v>13</v>
      </c>
      <c r="H94" s="4" t="s">
        <v>14</v>
      </c>
      <c r="I94" s="4"/>
      <c r="J94" s="4" t="s">
        <v>235</v>
      </c>
      <c r="K94" s="4" t="s">
        <v>234</v>
      </c>
      <c r="L94" s="4" t="s">
        <v>217</v>
      </c>
      <c r="M94" s="4" t="s">
        <v>216</v>
      </c>
      <c r="N94" s="3">
        <v>1.2420921380000001</v>
      </c>
      <c r="O94" s="3" t="s">
        <v>218</v>
      </c>
      <c r="P94" s="1"/>
    </row>
    <row r="95" spans="2:16" ht="15.75" hidden="1" thickBot="1">
      <c r="B95" s="4" t="s">
        <v>292</v>
      </c>
      <c r="C95" s="4" t="s">
        <v>8</v>
      </c>
      <c r="D95" s="4" t="s">
        <v>117</v>
      </c>
      <c r="E95" s="4" t="s">
        <v>17</v>
      </c>
      <c r="F95" s="3">
        <v>92</v>
      </c>
      <c r="G95" s="4" t="s">
        <v>286</v>
      </c>
      <c r="H95" s="4" t="s">
        <v>14</v>
      </c>
      <c r="I95" s="4"/>
      <c r="J95" s="4" t="s">
        <v>288</v>
      </c>
      <c r="K95" s="4" t="s">
        <v>287</v>
      </c>
      <c r="L95" s="4" t="s">
        <v>290</v>
      </c>
      <c r="M95" s="4" t="s">
        <v>289</v>
      </c>
      <c r="N95" s="3">
        <v>0.66100000000000003</v>
      </c>
      <c r="O95" s="3" t="s">
        <v>291</v>
      </c>
      <c r="P95" s="1"/>
    </row>
    <row r="96" spans="2:16" ht="15.75" hidden="1" thickBot="1">
      <c r="B96" s="4" t="s">
        <v>199</v>
      </c>
      <c r="C96" s="4" t="s">
        <v>8</v>
      </c>
      <c r="D96" s="4" t="s">
        <v>117</v>
      </c>
      <c r="E96" s="4" t="s">
        <v>17</v>
      </c>
      <c r="F96" s="3">
        <v>93</v>
      </c>
      <c r="G96" s="4" t="s">
        <v>195</v>
      </c>
      <c r="H96" s="4" t="s">
        <v>14</v>
      </c>
      <c r="I96" s="4"/>
      <c r="J96" s="4" t="s">
        <v>294</v>
      </c>
      <c r="K96" s="4" t="s">
        <v>293</v>
      </c>
      <c r="L96" s="4" t="s">
        <v>197</v>
      </c>
      <c r="M96" s="4" t="s">
        <v>196</v>
      </c>
      <c r="N96" s="3">
        <v>1.9798267890000001</v>
      </c>
      <c r="O96" s="3" t="s">
        <v>198</v>
      </c>
      <c r="P96" s="1"/>
    </row>
    <row r="97" spans="2:16" ht="15.75" hidden="1" thickBot="1">
      <c r="B97" s="4" t="s">
        <v>207</v>
      </c>
      <c r="C97" s="4" t="s">
        <v>8</v>
      </c>
      <c r="D97" s="4" t="s">
        <v>117</v>
      </c>
      <c r="E97" s="4" t="s">
        <v>17</v>
      </c>
      <c r="F97" s="3">
        <v>94</v>
      </c>
      <c r="G97" s="4" t="s">
        <v>195</v>
      </c>
      <c r="H97" s="4" t="s">
        <v>14</v>
      </c>
      <c r="I97" s="4"/>
      <c r="J97" s="4" t="s">
        <v>294</v>
      </c>
      <c r="K97" s="4" t="s">
        <v>293</v>
      </c>
      <c r="L97" s="4" t="s">
        <v>205</v>
      </c>
      <c r="M97" s="4" t="s">
        <v>204</v>
      </c>
      <c r="N97" s="3">
        <v>1.8251732110000001</v>
      </c>
      <c r="O97" s="3" t="s">
        <v>206</v>
      </c>
      <c r="P97" s="1"/>
    </row>
    <row r="98" spans="2:16" ht="15.75" hidden="1" thickBot="1">
      <c r="B98" s="4" t="s">
        <v>249</v>
      </c>
      <c r="C98" s="4" t="s">
        <v>8</v>
      </c>
      <c r="D98" s="4" t="s">
        <v>18</v>
      </c>
      <c r="E98" s="4" t="s">
        <v>17</v>
      </c>
      <c r="F98" s="3">
        <v>95</v>
      </c>
      <c r="G98" s="4" t="s">
        <v>245</v>
      </c>
      <c r="H98" s="4" t="s">
        <v>14</v>
      </c>
      <c r="I98" s="4"/>
      <c r="J98" s="4" t="s">
        <v>296</v>
      </c>
      <c r="K98" s="4" t="s">
        <v>295</v>
      </c>
      <c r="L98" s="4" t="s">
        <v>247</v>
      </c>
      <c r="M98" s="4" t="s">
        <v>246</v>
      </c>
      <c r="N98" s="3">
        <v>8.2819139999999999E-2</v>
      </c>
      <c r="O98" s="3" t="s">
        <v>248</v>
      </c>
      <c r="P98" s="1"/>
    </row>
    <row r="99" spans="2:16" ht="15.75" hidden="1" thickBot="1">
      <c r="B99" s="4" t="s">
        <v>253</v>
      </c>
      <c r="C99" s="4" t="s">
        <v>8</v>
      </c>
      <c r="D99" s="4" t="s">
        <v>18</v>
      </c>
      <c r="E99" s="4" t="s">
        <v>17</v>
      </c>
      <c r="F99" s="3">
        <v>96</v>
      </c>
      <c r="G99" s="4" t="s">
        <v>28</v>
      </c>
      <c r="H99" s="4" t="s">
        <v>14</v>
      </c>
      <c r="I99" s="4"/>
      <c r="J99" s="4" t="s">
        <v>296</v>
      </c>
      <c r="K99" s="4" t="s">
        <v>295</v>
      </c>
      <c r="L99" s="4" t="s">
        <v>251</v>
      </c>
      <c r="M99" s="4" t="s">
        <v>250</v>
      </c>
      <c r="N99" s="3">
        <v>0.285013927</v>
      </c>
      <c r="O99" s="3" t="s">
        <v>252</v>
      </c>
      <c r="P99" s="1"/>
    </row>
    <row r="100" spans="2:16" ht="15.75" hidden="1" thickBot="1">
      <c r="B100" s="4" t="s">
        <v>257</v>
      </c>
      <c r="C100" s="4" t="s">
        <v>8</v>
      </c>
      <c r="D100" s="4" t="s">
        <v>18</v>
      </c>
      <c r="E100" s="4" t="s">
        <v>17</v>
      </c>
      <c r="F100" s="3">
        <v>97</v>
      </c>
      <c r="G100" s="4" t="s">
        <v>28</v>
      </c>
      <c r="H100" s="4" t="s">
        <v>14</v>
      </c>
      <c r="I100" s="4"/>
      <c r="J100" s="4" t="s">
        <v>296</v>
      </c>
      <c r="K100" s="4" t="s">
        <v>295</v>
      </c>
      <c r="L100" s="4" t="s">
        <v>255</v>
      </c>
      <c r="M100" s="4" t="s">
        <v>254</v>
      </c>
      <c r="N100" s="3">
        <v>0.42295230900000003</v>
      </c>
      <c r="O100" s="3" t="s">
        <v>256</v>
      </c>
      <c r="P100" s="1"/>
    </row>
    <row r="101" spans="2:16" ht="15.75" hidden="1" thickBot="1">
      <c r="B101" s="4" t="s">
        <v>261</v>
      </c>
      <c r="C101" s="4" t="s">
        <v>8</v>
      </c>
      <c r="D101" s="4" t="s">
        <v>18</v>
      </c>
      <c r="E101" s="4" t="s">
        <v>17</v>
      </c>
      <c r="F101" s="3">
        <v>98</v>
      </c>
      <c r="G101" s="4" t="s">
        <v>28</v>
      </c>
      <c r="H101" s="4" t="s">
        <v>14</v>
      </c>
      <c r="I101" s="4"/>
      <c r="J101" s="4" t="s">
        <v>296</v>
      </c>
      <c r="K101" s="4" t="s">
        <v>295</v>
      </c>
      <c r="L101" s="4" t="s">
        <v>259</v>
      </c>
      <c r="M101" s="4" t="s">
        <v>258</v>
      </c>
      <c r="N101" s="3">
        <v>0.33123240199999998</v>
      </c>
      <c r="O101" s="3" t="s">
        <v>260</v>
      </c>
      <c r="P101" s="1"/>
    </row>
    <row r="102" spans="2:16" ht="15.75" hidden="1" thickBot="1">
      <c r="B102" s="4" t="s">
        <v>265</v>
      </c>
      <c r="C102" s="4" t="s">
        <v>8</v>
      </c>
      <c r="D102" s="4" t="s">
        <v>18</v>
      </c>
      <c r="E102" s="4" t="s">
        <v>17</v>
      </c>
      <c r="F102" s="3">
        <v>99</v>
      </c>
      <c r="G102" s="4" t="s">
        <v>13</v>
      </c>
      <c r="H102" s="4" t="s">
        <v>14</v>
      </c>
      <c r="I102" s="4"/>
      <c r="J102" s="4" t="s">
        <v>296</v>
      </c>
      <c r="K102" s="4" t="s">
        <v>295</v>
      </c>
      <c r="L102" s="4" t="s">
        <v>263</v>
      </c>
      <c r="M102" s="4" t="s">
        <v>262</v>
      </c>
      <c r="N102" s="3">
        <v>0.59802146</v>
      </c>
      <c r="O102" s="3" t="s">
        <v>264</v>
      </c>
      <c r="P102" s="1"/>
    </row>
    <row r="103" spans="2:16" ht="15.75" hidden="1" thickBot="1">
      <c r="B103" s="4" t="s">
        <v>273</v>
      </c>
      <c r="C103" s="4" t="s">
        <v>8</v>
      </c>
      <c r="D103" s="4" t="s">
        <v>18</v>
      </c>
      <c r="E103" s="4" t="s">
        <v>17</v>
      </c>
      <c r="F103" s="3">
        <v>100</v>
      </c>
      <c r="G103" s="4" t="s">
        <v>28</v>
      </c>
      <c r="H103" s="4" t="s">
        <v>14</v>
      </c>
      <c r="I103" s="4"/>
      <c r="J103" s="4" t="s">
        <v>296</v>
      </c>
      <c r="K103" s="4" t="s">
        <v>295</v>
      </c>
      <c r="L103" s="4" t="s">
        <v>271</v>
      </c>
      <c r="M103" s="4" t="s">
        <v>270</v>
      </c>
      <c r="N103" s="3">
        <v>0.31656692400000003</v>
      </c>
      <c r="O103" s="3" t="s">
        <v>272</v>
      </c>
      <c r="P103" s="1"/>
    </row>
    <row r="104" spans="2:16" ht="15.75" hidden="1" thickBot="1">
      <c r="B104" s="4" t="s">
        <v>277</v>
      </c>
      <c r="C104" s="4" t="s">
        <v>8</v>
      </c>
      <c r="D104" s="4" t="s">
        <v>18</v>
      </c>
      <c r="E104" s="4" t="s">
        <v>17</v>
      </c>
      <c r="F104" s="3">
        <v>101</v>
      </c>
      <c r="G104" s="4" t="s">
        <v>28</v>
      </c>
      <c r="H104" s="4" t="s">
        <v>14</v>
      </c>
      <c r="I104" s="4"/>
      <c r="J104" s="4" t="s">
        <v>296</v>
      </c>
      <c r="K104" s="4" t="s">
        <v>295</v>
      </c>
      <c r="L104" s="4" t="s">
        <v>275</v>
      </c>
      <c r="M104" s="4" t="s">
        <v>274</v>
      </c>
      <c r="N104" s="3">
        <v>0.87036682799999998</v>
      </c>
      <c r="O104" s="3" t="s">
        <v>276</v>
      </c>
      <c r="P104" s="1"/>
    </row>
    <row r="105" spans="2:16" ht="15.75" hidden="1" thickBot="1">
      <c r="B105" s="4" t="s">
        <v>281</v>
      </c>
      <c r="C105" s="4" t="s">
        <v>8</v>
      </c>
      <c r="D105" s="4" t="s">
        <v>18</v>
      </c>
      <c r="E105" s="4" t="s">
        <v>17</v>
      </c>
      <c r="F105" s="3">
        <v>102</v>
      </c>
      <c r="G105" s="4" t="s">
        <v>114</v>
      </c>
      <c r="H105" s="4" t="s">
        <v>14</v>
      </c>
      <c r="I105" s="4"/>
      <c r="J105" s="4" t="s">
        <v>296</v>
      </c>
      <c r="K105" s="4" t="s">
        <v>295</v>
      </c>
      <c r="L105" s="4" t="s">
        <v>279</v>
      </c>
      <c r="M105" s="4" t="s">
        <v>278</v>
      </c>
      <c r="N105" s="3">
        <v>0.53195183999999995</v>
      </c>
      <c r="O105" s="3" t="s">
        <v>280</v>
      </c>
      <c r="P105" s="1"/>
    </row>
    <row r="106" spans="2:16" ht="15.75" hidden="1" thickBot="1">
      <c r="B106" s="4" t="s">
        <v>285</v>
      </c>
      <c r="C106" s="4" t="s">
        <v>8</v>
      </c>
      <c r="D106" s="4" t="s">
        <v>18</v>
      </c>
      <c r="E106" s="4" t="s">
        <v>17</v>
      </c>
      <c r="F106" s="3">
        <v>103</v>
      </c>
      <c r="G106" s="4" t="s">
        <v>28</v>
      </c>
      <c r="H106" s="4" t="s">
        <v>14</v>
      </c>
      <c r="I106" s="4"/>
      <c r="J106" s="4" t="s">
        <v>296</v>
      </c>
      <c r="K106" s="4" t="s">
        <v>295</v>
      </c>
      <c r="L106" s="4" t="s">
        <v>283</v>
      </c>
      <c r="M106" s="4" t="s">
        <v>282</v>
      </c>
      <c r="N106" s="3">
        <v>7.4075169999999996E-2</v>
      </c>
      <c r="O106" s="3" t="s">
        <v>284</v>
      </c>
      <c r="P106" s="1"/>
    </row>
    <row r="107" spans="2:16" ht="15.75" hidden="1" thickBot="1">
      <c r="B107" s="4" t="s">
        <v>302</v>
      </c>
      <c r="C107" s="4" t="s">
        <v>8</v>
      </c>
      <c r="D107" s="4" t="s">
        <v>18</v>
      </c>
      <c r="E107" s="4" t="s">
        <v>17</v>
      </c>
      <c r="F107" s="3">
        <v>104</v>
      </c>
      <c r="G107" s="4" t="s">
        <v>245</v>
      </c>
      <c r="H107" s="4" t="s">
        <v>14</v>
      </c>
      <c r="I107" s="4"/>
      <c r="J107" s="4" t="s">
        <v>298</v>
      </c>
      <c r="K107" s="4" t="s">
        <v>297</v>
      </c>
      <c r="L107" s="4" t="s">
        <v>300</v>
      </c>
      <c r="M107" s="4" t="s">
        <v>299</v>
      </c>
      <c r="N107" s="3">
        <v>1.1623458999999999E-2</v>
      </c>
      <c r="O107" s="3" t="s">
        <v>301</v>
      </c>
      <c r="P107" s="1"/>
    </row>
    <row r="108" spans="2:16" ht="15.75" hidden="1" thickBot="1">
      <c r="B108" s="4" t="s">
        <v>306</v>
      </c>
      <c r="C108" s="4" t="s">
        <v>8</v>
      </c>
      <c r="D108" s="4" t="s">
        <v>18</v>
      </c>
      <c r="E108" s="4" t="s">
        <v>17</v>
      </c>
      <c r="F108" s="3">
        <v>105</v>
      </c>
      <c r="G108" s="4" t="s">
        <v>245</v>
      </c>
      <c r="H108" s="4" t="s">
        <v>14</v>
      </c>
      <c r="I108" s="4"/>
      <c r="J108" s="4" t="s">
        <v>298</v>
      </c>
      <c r="K108" s="4" t="s">
        <v>297</v>
      </c>
      <c r="L108" s="4" t="s">
        <v>304</v>
      </c>
      <c r="M108" s="4" t="s">
        <v>303</v>
      </c>
      <c r="N108" s="3">
        <v>1.519011E-2</v>
      </c>
      <c r="O108" s="3" t="s">
        <v>305</v>
      </c>
      <c r="P108" s="1"/>
    </row>
    <row r="109" spans="2:16" ht="15.75" hidden="1" thickBot="1">
      <c r="B109" s="4" t="s">
        <v>310</v>
      </c>
      <c r="C109" s="4" t="s">
        <v>8</v>
      </c>
      <c r="D109" s="4" t="s">
        <v>18</v>
      </c>
      <c r="E109" s="4" t="s">
        <v>17</v>
      </c>
      <c r="F109" s="3">
        <v>106</v>
      </c>
      <c r="G109" s="4" t="s">
        <v>245</v>
      </c>
      <c r="H109" s="4" t="s">
        <v>14</v>
      </c>
      <c r="I109" s="4"/>
      <c r="J109" s="4" t="s">
        <v>298</v>
      </c>
      <c r="K109" s="4" t="s">
        <v>297</v>
      </c>
      <c r="L109" s="4" t="s">
        <v>308</v>
      </c>
      <c r="M109" s="4" t="s">
        <v>307</v>
      </c>
      <c r="N109" s="3">
        <v>2.9584091999999999E-2</v>
      </c>
      <c r="O109" s="3" t="s">
        <v>309</v>
      </c>
      <c r="P109" s="1"/>
    </row>
    <row r="110" spans="2:16" ht="15.75" hidden="1" thickBot="1">
      <c r="B110" s="4" t="s">
        <v>314</v>
      </c>
      <c r="C110" s="4" t="s">
        <v>8</v>
      </c>
      <c r="D110" s="4" t="s">
        <v>18</v>
      </c>
      <c r="E110" s="4" t="s">
        <v>17</v>
      </c>
      <c r="F110" s="3">
        <v>107</v>
      </c>
      <c r="G110" s="4" t="s">
        <v>28</v>
      </c>
      <c r="H110" s="4" t="s">
        <v>14</v>
      </c>
      <c r="I110" s="4"/>
      <c r="J110" s="4" t="s">
        <v>298</v>
      </c>
      <c r="K110" s="4" t="s">
        <v>297</v>
      </c>
      <c r="L110" s="4" t="s">
        <v>312</v>
      </c>
      <c r="M110" s="4" t="s">
        <v>311</v>
      </c>
      <c r="N110" s="3">
        <v>4.6875977999999999E-2</v>
      </c>
      <c r="O110" s="3" t="s">
        <v>313</v>
      </c>
      <c r="P110" s="1"/>
    </row>
    <row r="111" spans="2:16" ht="15.75" hidden="1" thickBot="1">
      <c r="B111" s="4" t="s">
        <v>318</v>
      </c>
      <c r="C111" s="4" t="s">
        <v>8</v>
      </c>
      <c r="D111" s="4" t="s">
        <v>18</v>
      </c>
      <c r="E111" s="4" t="s">
        <v>17</v>
      </c>
      <c r="F111" s="3">
        <v>108</v>
      </c>
      <c r="G111" s="4" t="s">
        <v>28</v>
      </c>
      <c r="H111" s="4" t="s">
        <v>14</v>
      </c>
      <c r="I111" s="4"/>
      <c r="J111" s="4" t="s">
        <v>298</v>
      </c>
      <c r="K111" s="4" t="s">
        <v>297</v>
      </c>
      <c r="L111" s="4" t="s">
        <v>316</v>
      </c>
      <c r="M111" s="4" t="s">
        <v>315</v>
      </c>
      <c r="N111" s="3">
        <v>0.20148627299999999</v>
      </c>
      <c r="O111" s="3" t="s">
        <v>317</v>
      </c>
      <c r="P111" s="1"/>
    </row>
    <row r="112" spans="2:16" ht="15.75" hidden="1" thickBot="1">
      <c r="B112" s="4" t="s">
        <v>323</v>
      </c>
      <c r="C112" s="4" t="s">
        <v>8</v>
      </c>
      <c r="D112" s="4" t="s">
        <v>18</v>
      </c>
      <c r="E112" s="4" t="s">
        <v>17</v>
      </c>
      <c r="F112" s="3">
        <v>109</v>
      </c>
      <c r="G112" s="4" t="s">
        <v>319</v>
      </c>
      <c r="H112" s="4" t="s">
        <v>14</v>
      </c>
      <c r="I112" s="4"/>
      <c r="J112" s="4" t="s">
        <v>298</v>
      </c>
      <c r="K112" s="4" t="s">
        <v>297</v>
      </c>
      <c r="L112" s="4" t="s">
        <v>321</v>
      </c>
      <c r="M112" s="4" t="s">
        <v>320</v>
      </c>
      <c r="N112" s="3">
        <v>2.9615936999999998E-2</v>
      </c>
      <c r="O112" s="3" t="s">
        <v>322</v>
      </c>
      <c r="P112" s="1"/>
    </row>
    <row r="113" spans="2:16" ht="15.75" hidden="1" thickBot="1">
      <c r="B113" s="4" t="s">
        <v>327</v>
      </c>
      <c r="C113" s="4" t="s">
        <v>8</v>
      </c>
      <c r="D113" s="4" t="s">
        <v>18</v>
      </c>
      <c r="E113" s="4" t="s">
        <v>17</v>
      </c>
      <c r="F113" s="3">
        <v>110</v>
      </c>
      <c r="G113" s="4" t="s">
        <v>67</v>
      </c>
      <c r="H113" s="4" t="s">
        <v>14</v>
      </c>
      <c r="I113" s="4"/>
      <c r="J113" s="4" t="s">
        <v>298</v>
      </c>
      <c r="K113" s="4" t="s">
        <v>297</v>
      </c>
      <c r="L113" s="4" t="s">
        <v>325</v>
      </c>
      <c r="M113" s="4" t="s">
        <v>324</v>
      </c>
      <c r="N113" s="3">
        <v>0.11228703600000001</v>
      </c>
      <c r="O113" s="3" t="s">
        <v>326</v>
      </c>
      <c r="P113" s="1"/>
    </row>
    <row r="114" spans="2:16" ht="15.75" hidden="1" thickBot="1">
      <c r="B114" s="4" t="s">
        <v>331</v>
      </c>
      <c r="C114" s="4" t="s">
        <v>8</v>
      </c>
      <c r="D114" s="4" t="s">
        <v>18</v>
      </c>
      <c r="E114" s="4" t="s">
        <v>17</v>
      </c>
      <c r="F114" s="3">
        <v>111</v>
      </c>
      <c r="G114" s="4" t="s">
        <v>28</v>
      </c>
      <c r="H114" s="4" t="s">
        <v>14</v>
      </c>
      <c r="I114" s="4"/>
      <c r="J114" s="4" t="s">
        <v>298</v>
      </c>
      <c r="K114" s="4" t="s">
        <v>297</v>
      </c>
      <c r="L114" s="4" t="s">
        <v>329</v>
      </c>
      <c r="M114" s="4" t="s">
        <v>328</v>
      </c>
      <c r="N114" s="3">
        <v>5.1397982000000002E-2</v>
      </c>
      <c r="O114" s="3" t="s">
        <v>330</v>
      </c>
      <c r="P114" s="1"/>
    </row>
    <row r="115" spans="2:16" ht="15.75" hidden="1" thickBot="1">
      <c r="B115" s="4" t="s">
        <v>335</v>
      </c>
      <c r="C115" s="4" t="s">
        <v>8</v>
      </c>
      <c r="D115" s="4" t="s">
        <v>18</v>
      </c>
      <c r="E115" s="4" t="s">
        <v>17</v>
      </c>
      <c r="F115" s="3">
        <v>112</v>
      </c>
      <c r="G115" s="4" t="s">
        <v>28</v>
      </c>
      <c r="H115" s="4" t="s">
        <v>14</v>
      </c>
      <c r="I115" s="4"/>
      <c r="J115" s="4" t="s">
        <v>298</v>
      </c>
      <c r="K115" s="4" t="s">
        <v>297</v>
      </c>
      <c r="L115" s="4" t="s">
        <v>333</v>
      </c>
      <c r="M115" s="4" t="s">
        <v>332</v>
      </c>
      <c r="N115" s="3">
        <v>6.8880938000000003E-2</v>
      </c>
      <c r="O115" s="3" t="s">
        <v>334</v>
      </c>
      <c r="P115" s="1"/>
    </row>
    <row r="116" spans="2:16" ht="15.75" hidden="1" thickBot="1">
      <c r="B116" s="4" t="s">
        <v>339</v>
      </c>
      <c r="C116" s="4" t="s">
        <v>8</v>
      </c>
      <c r="D116" s="4" t="s">
        <v>18</v>
      </c>
      <c r="E116" s="4" t="s">
        <v>17</v>
      </c>
      <c r="F116" s="3">
        <v>113</v>
      </c>
      <c r="G116" s="4" t="s">
        <v>28</v>
      </c>
      <c r="H116" s="4" t="s">
        <v>14</v>
      </c>
      <c r="I116" s="4"/>
      <c r="J116" s="4" t="s">
        <v>298</v>
      </c>
      <c r="K116" s="4" t="s">
        <v>297</v>
      </c>
      <c r="L116" s="4" t="s">
        <v>337</v>
      </c>
      <c r="M116" s="4" t="s">
        <v>336</v>
      </c>
      <c r="N116" s="3">
        <v>6.5498988999999994E-2</v>
      </c>
      <c r="O116" s="3" t="s">
        <v>338</v>
      </c>
      <c r="P116" s="1"/>
    </row>
    <row r="117" spans="2:16" ht="15.75" hidden="1" thickBot="1">
      <c r="B117" s="4" t="s">
        <v>344</v>
      </c>
      <c r="C117" s="4" t="s">
        <v>8</v>
      </c>
      <c r="D117" s="4" t="s">
        <v>18</v>
      </c>
      <c r="E117" s="4" t="s">
        <v>17</v>
      </c>
      <c r="F117" s="3">
        <v>114</v>
      </c>
      <c r="G117" s="4" t="s">
        <v>340</v>
      </c>
      <c r="H117" s="4" t="s">
        <v>14</v>
      </c>
      <c r="I117" s="4"/>
      <c r="J117" s="4" t="s">
        <v>298</v>
      </c>
      <c r="K117" s="4" t="s">
        <v>297</v>
      </c>
      <c r="L117" s="4" t="s">
        <v>342</v>
      </c>
      <c r="M117" s="4" t="s">
        <v>341</v>
      </c>
      <c r="N117" s="3">
        <v>3.9742680000000004E-3</v>
      </c>
      <c r="O117" s="3" t="s">
        <v>343</v>
      </c>
      <c r="P117" s="1"/>
    </row>
    <row r="118" spans="2:16" ht="15.75" hidden="1" thickBot="1">
      <c r="B118" s="4" t="s">
        <v>348</v>
      </c>
      <c r="C118" s="4" t="s">
        <v>8</v>
      </c>
      <c r="D118" s="4" t="s">
        <v>18</v>
      </c>
      <c r="E118" s="4" t="s">
        <v>17</v>
      </c>
      <c r="F118" s="3">
        <v>115</v>
      </c>
      <c r="G118" s="4" t="s">
        <v>13</v>
      </c>
      <c r="H118" s="4" t="s">
        <v>14</v>
      </c>
      <c r="I118" s="4"/>
      <c r="J118" s="4" t="s">
        <v>298</v>
      </c>
      <c r="K118" s="4" t="s">
        <v>297</v>
      </c>
      <c r="L118" s="4" t="s">
        <v>346</v>
      </c>
      <c r="M118" s="4" t="s">
        <v>345</v>
      </c>
      <c r="N118" s="3">
        <v>0.27502995899999999</v>
      </c>
      <c r="O118" s="3" t="s">
        <v>347</v>
      </c>
      <c r="P118" s="1"/>
    </row>
    <row r="119" spans="2:16" ht="15.75" hidden="1" thickBot="1">
      <c r="B119" s="4" t="s">
        <v>352</v>
      </c>
      <c r="C119" s="4" t="s">
        <v>8</v>
      </c>
      <c r="D119" s="4" t="s">
        <v>18</v>
      </c>
      <c r="E119" s="4" t="s">
        <v>17</v>
      </c>
      <c r="F119" s="3">
        <v>116</v>
      </c>
      <c r="G119" s="4" t="s">
        <v>28</v>
      </c>
      <c r="H119" s="4" t="s">
        <v>14</v>
      </c>
      <c r="I119" s="4"/>
      <c r="J119" s="4" t="s">
        <v>298</v>
      </c>
      <c r="K119" s="4" t="s">
        <v>297</v>
      </c>
      <c r="L119" s="4" t="s">
        <v>350</v>
      </c>
      <c r="M119" s="4" t="s">
        <v>349</v>
      </c>
      <c r="N119" s="3">
        <v>1.8119783190000001</v>
      </c>
      <c r="O119" s="3" t="s">
        <v>351</v>
      </c>
      <c r="P119" s="1"/>
    </row>
    <row r="120" spans="2:16" ht="15.75" hidden="1" thickBot="1">
      <c r="B120" s="4" t="s">
        <v>356</v>
      </c>
      <c r="C120" s="4" t="s">
        <v>8</v>
      </c>
      <c r="D120" s="4" t="s">
        <v>18</v>
      </c>
      <c r="E120" s="4" t="s">
        <v>17</v>
      </c>
      <c r="F120" s="3">
        <v>117</v>
      </c>
      <c r="G120" s="4" t="s">
        <v>28</v>
      </c>
      <c r="H120" s="4" t="s">
        <v>14</v>
      </c>
      <c r="I120" s="4"/>
      <c r="J120" s="4" t="s">
        <v>298</v>
      </c>
      <c r="K120" s="4" t="s">
        <v>297</v>
      </c>
      <c r="L120" s="4" t="s">
        <v>354</v>
      </c>
      <c r="M120" s="4" t="s">
        <v>353</v>
      </c>
      <c r="N120" s="3">
        <v>0.50670514</v>
      </c>
      <c r="O120" s="3" t="s">
        <v>355</v>
      </c>
      <c r="P120" s="1"/>
    </row>
    <row r="121" spans="2:16" ht="15.75" hidden="1" thickBot="1">
      <c r="B121" s="4" t="s">
        <v>360</v>
      </c>
      <c r="C121" s="4" t="s">
        <v>8</v>
      </c>
      <c r="D121" s="4" t="s">
        <v>18</v>
      </c>
      <c r="E121" s="4" t="s">
        <v>17</v>
      </c>
      <c r="F121" s="3">
        <v>118</v>
      </c>
      <c r="G121" s="4" t="s">
        <v>13</v>
      </c>
      <c r="H121" s="4" t="s">
        <v>14</v>
      </c>
      <c r="I121" s="4"/>
      <c r="J121" s="4" t="s">
        <v>298</v>
      </c>
      <c r="K121" s="4" t="s">
        <v>297</v>
      </c>
      <c r="L121" s="4" t="s">
        <v>358</v>
      </c>
      <c r="M121" s="4" t="s">
        <v>357</v>
      </c>
      <c r="N121" s="3">
        <v>1.130596959</v>
      </c>
      <c r="O121" s="3" t="s">
        <v>359</v>
      </c>
      <c r="P121" s="1"/>
    </row>
    <row r="122" spans="2:16" ht="15.75" hidden="1" thickBot="1">
      <c r="B122" s="4" t="s">
        <v>364</v>
      </c>
      <c r="C122" s="4" t="s">
        <v>8</v>
      </c>
      <c r="D122" s="4" t="s">
        <v>18</v>
      </c>
      <c r="E122" s="4" t="s">
        <v>17</v>
      </c>
      <c r="F122" s="3">
        <v>119</v>
      </c>
      <c r="G122" s="4" t="s">
        <v>28</v>
      </c>
      <c r="H122" s="4" t="s">
        <v>14</v>
      </c>
      <c r="I122" s="4"/>
      <c r="J122" s="4" t="s">
        <v>298</v>
      </c>
      <c r="K122" s="4" t="s">
        <v>297</v>
      </c>
      <c r="L122" s="4" t="s">
        <v>362</v>
      </c>
      <c r="M122" s="4" t="s">
        <v>361</v>
      </c>
      <c r="N122" s="3">
        <v>0.56060733299999999</v>
      </c>
      <c r="O122" s="3" t="s">
        <v>363</v>
      </c>
      <c r="P122" s="1"/>
    </row>
    <row r="123" spans="2:16" ht="15.75" hidden="1" thickBot="1">
      <c r="B123" s="4" t="s">
        <v>368</v>
      </c>
      <c r="C123" s="4" t="s">
        <v>8</v>
      </c>
      <c r="D123" s="4" t="s">
        <v>18</v>
      </c>
      <c r="E123" s="4" t="s">
        <v>17</v>
      </c>
      <c r="F123" s="3">
        <v>120</v>
      </c>
      <c r="G123" s="4" t="s">
        <v>13</v>
      </c>
      <c r="H123" s="4" t="s">
        <v>14</v>
      </c>
      <c r="I123" s="4"/>
      <c r="J123" s="4" t="s">
        <v>298</v>
      </c>
      <c r="K123" s="4" t="s">
        <v>297</v>
      </c>
      <c r="L123" s="4" t="s">
        <v>366</v>
      </c>
      <c r="M123" s="4" t="s">
        <v>365</v>
      </c>
      <c r="N123" s="3">
        <v>0.23872723000000001</v>
      </c>
      <c r="O123" s="3" t="s">
        <v>367</v>
      </c>
      <c r="P123" s="1"/>
    </row>
    <row r="124" spans="2:16" ht="15.75" hidden="1" thickBot="1">
      <c r="B124" s="4" t="s">
        <v>372</v>
      </c>
      <c r="C124" s="4" t="s">
        <v>8</v>
      </c>
      <c r="D124" s="4" t="s">
        <v>18</v>
      </c>
      <c r="E124" s="4" t="s">
        <v>17</v>
      </c>
      <c r="F124" s="3">
        <v>121</v>
      </c>
      <c r="G124" s="4" t="s">
        <v>13</v>
      </c>
      <c r="H124" s="4" t="s">
        <v>14</v>
      </c>
      <c r="I124" s="4"/>
      <c r="J124" s="4" t="s">
        <v>298</v>
      </c>
      <c r="K124" s="4" t="s">
        <v>297</v>
      </c>
      <c r="L124" s="4" t="s">
        <v>370</v>
      </c>
      <c r="M124" s="4" t="s">
        <v>369</v>
      </c>
      <c r="N124" s="3">
        <v>0.48713110100000001</v>
      </c>
      <c r="O124" s="3" t="s">
        <v>371</v>
      </c>
      <c r="P124" s="1"/>
    </row>
    <row r="125" spans="2:16" ht="15.75" hidden="1" thickBot="1">
      <c r="B125" s="4" t="s">
        <v>376</v>
      </c>
      <c r="C125" s="4" t="s">
        <v>8</v>
      </c>
      <c r="D125" s="4" t="s">
        <v>18</v>
      </c>
      <c r="E125" s="4" t="s">
        <v>17</v>
      </c>
      <c r="F125" s="3">
        <v>122</v>
      </c>
      <c r="G125" s="4" t="s">
        <v>13</v>
      </c>
      <c r="H125" s="4" t="s">
        <v>14</v>
      </c>
      <c r="I125" s="4"/>
      <c r="J125" s="4" t="s">
        <v>298</v>
      </c>
      <c r="K125" s="4" t="s">
        <v>297</v>
      </c>
      <c r="L125" s="4" t="s">
        <v>374</v>
      </c>
      <c r="M125" s="4" t="s">
        <v>373</v>
      </c>
      <c r="N125" s="3">
        <v>0.10510621000000001</v>
      </c>
      <c r="O125" s="3" t="s">
        <v>375</v>
      </c>
      <c r="P125" s="1"/>
    </row>
    <row r="126" spans="2:16" ht="15.75" hidden="1" thickBot="1">
      <c r="B126" s="4" t="s">
        <v>380</v>
      </c>
      <c r="C126" s="4" t="s">
        <v>8</v>
      </c>
      <c r="D126" s="4" t="s">
        <v>18</v>
      </c>
      <c r="E126" s="4" t="s">
        <v>17</v>
      </c>
      <c r="F126" s="3">
        <v>123</v>
      </c>
      <c r="G126" s="4" t="s">
        <v>67</v>
      </c>
      <c r="H126" s="4" t="s">
        <v>14</v>
      </c>
      <c r="I126" s="4"/>
      <c r="J126" s="4" t="s">
        <v>298</v>
      </c>
      <c r="K126" s="4" t="s">
        <v>297</v>
      </c>
      <c r="L126" s="4" t="s">
        <v>378</v>
      </c>
      <c r="M126" s="4" t="s">
        <v>377</v>
      </c>
      <c r="N126" s="3">
        <v>6.1690109E-2</v>
      </c>
      <c r="O126" s="3" t="s">
        <v>379</v>
      </c>
      <c r="P126" s="1"/>
    </row>
    <row r="127" spans="2:16" ht="15.75" hidden="1" thickBot="1">
      <c r="B127" s="4" t="s">
        <v>384</v>
      </c>
      <c r="C127" s="4" t="s">
        <v>8</v>
      </c>
      <c r="D127" s="4" t="s">
        <v>18</v>
      </c>
      <c r="E127" s="4" t="s">
        <v>17</v>
      </c>
      <c r="F127" s="3">
        <v>124</v>
      </c>
      <c r="G127" s="4" t="s">
        <v>67</v>
      </c>
      <c r="H127" s="4" t="s">
        <v>14</v>
      </c>
      <c r="I127" s="4"/>
      <c r="J127" s="4" t="s">
        <v>298</v>
      </c>
      <c r="K127" s="4" t="s">
        <v>297</v>
      </c>
      <c r="L127" s="4" t="s">
        <v>382</v>
      </c>
      <c r="M127" s="4" t="s">
        <v>381</v>
      </c>
      <c r="N127" s="3">
        <v>6.2425975000000002E-2</v>
      </c>
      <c r="O127" s="3" t="s">
        <v>383</v>
      </c>
      <c r="P127" s="1"/>
    </row>
    <row r="128" spans="2:16" ht="15.75" hidden="1" thickBot="1">
      <c r="B128" s="4" t="s">
        <v>388</v>
      </c>
      <c r="C128" s="4" t="s">
        <v>8</v>
      </c>
      <c r="D128" s="4" t="s">
        <v>18</v>
      </c>
      <c r="E128" s="4" t="s">
        <v>17</v>
      </c>
      <c r="F128" s="3">
        <v>125</v>
      </c>
      <c r="G128" s="4" t="s">
        <v>44</v>
      </c>
      <c r="H128" s="4" t="s">
        <v>14</v>
      </c>
      <c r="I128" s="4"/>
      <c r="J128" s="4" t="s">
        <v>298</v>
      </c>
      <c r="K128" s="4" t="s">
        <v>297</v>
      </c>
      <c r="L128" s="4" t="s">
        <v>386</v>
      </c>
      <c r="M128" s="4" t="s">
        <v>385</v>
      </c>
      <c r="N128" s="3">
        <v>8.0822627999999994E-2</v>
      </c>
      <c r="O128" s="3" t="s">
        <v>387</v>
      </c>
      <c r="P128" s="1"/>
    </row>
    <row r="129" spans="2:16" ht="15.75" hidden="1" thickBot="1">
      <c r="B129" s="4" t="s">
        <v>392</v>
      </c>
      <c r="C129" s="4" t="s">
        <v>8</v>
      </c>
      <c r="D129" s="4" t="s">
        <v>18</v>
      </c>
      <c r="E129" s="4" t="s">
        <v>17</v>
      </c>
      <c r="F129" s="3">
        <v>126</v>
      </c>
      <c r="G129" s="4" t="s">
        <v>28</v>
      </c>
      <c r="H129" s="4" t="s">
        <v>14</v>
      </c>
      <c r="I129" s="4"/>
      <c r="J129" s="4" t="s">
        <v>298</v>
      </c>
      <c r="K129" s="4" t="s">
        <v>297</v>
      </c>
      <c r="L129" s="4" t="s">
        <v>390</v>
      </c>
      <c r="M129" s="4" t="s">
        <v>389</v>
      </c>
      <c r="N129" s="3">
        <v>3.8669765000000002E-2</v>
      </c>
      <c r="O129" s="3" t="s">
        <v>391</v>
      </c>
      <c r="P129" s="1"/>
    </row>
    <row r="130" spans="2:16" ht="15.75" hidden="1" thickBot="1">
      <c r="B130" s="4" t="s">
        <v>396</v>
      </c>
      <c r="C130" s="4" t="s">
        <v>8</v>
      </c>
      <c r="D130" s="4" t="s">
        <v>18</v>
      </c>
      <c r="E130" s="4" t="s">
        <v>17</v>
      </c>
      <c r="F130" s="3">
        <v>127</v>
      </c>
      <c r="G130" s="4" t="s">
        <v>173</v>
      </c>
      <c r="H130" s="4" t="s">
        <v>14</v>
      </c>
      <c r="I130" s="4"/>
      <c r="J130" s="4" t="s">
        <v>298</v>
      </c>
      <c r="K130" s="4" t="s">
        <v>297</v>
      </c>
      <c r="L130" s="4" t="s">
        <v>394</v>
      </c>
      <c r="M130" s="4" t="s">
        <v>393</v>
      </c>
      <c r="N130" s="3">
        <v>6.5124150000000006E-2</v>
      </c>
      <c r="O130" s="3" t="s">
        <v>395</v>
      </c>
      <c r="P130" s="1"/>
    </row>
    <row r="131" spans="2:16" ht="15.75" hidden="1" thickBot="1">
      <c r="B131" s="4" t="s">
        <v>400</v>
      </c>
      <c r="C131" s="4" t="s">
        <v>8</v>
      </c>
      <c r="D131" s="4" t="s">
        <v>18</v>
      </c>
      <c r="E131" s="4" t="s">
        <v>17</v>
      </c>
      <c r="F131" s="3">
        <v>128</v>
      </c>
      <c r="G131" s="4" t="s">
        <v>28</v>
      </c>
      <c r="H131" s="4" t="s">
        <v>14</v>
      </c>
      <c r="I131" s="4"/>
      <c r="J131" s="4" t="s">
        <v>298</v>
      </c>
      <c r="K131" s="4" t="s">
        <v>297</v>
      </c>
      <c r="L131" s="4" t="s">
        <v>398</v>
      </c>
      <c r="M131" s="4" t="s">
        <v>397</v>
      </c>
      <c r="N131" s="3">
        <v>9.4006894999999993E-2</v>
      </c>
      <c r="O131" s="3" t="s">
        <v>399</v>
      </c>
      <c r="P131" s="1"/>
    </row>
    <row r="132" spans="2:16" ht="15.75" hidden="1" thickBot="1">
      <c r="B132" s="4" t="s">
        <v>404</v>
      </c>
      <c r="C132" s="4" t="s">
        <v>8</v>
      </c>
      <c r="D132" s="4" t="s">
        <v>18</v>
      </c>
      <c r="E132" s="4" t="s">
        <v>17</v>
      </c>
      <c r="F132" s="3">
        <v>129</v>
      </c>
      <c r="G132" s="4" t="s">
        <v>13</v>
      </c>
      <c r="H132" s="4" t="s">
        <v>14</v>
      </c>
      <c r="I132" s="4"/>
      <c r="J132" s="4" t="s">
        <v>298</v>
      </c>
      <c r="K132" s="4" t="s">
        <v>297</v>
      </c>
      <c r="L132" s="4" t="s">
        <v>402</v>
      </c>
      <c r="M132" s="4" t="s">
        <v>401</v>
      </c>
      <c r="N132" s="3">
        <v>0.34266832000000003</v>
      </c>
      <c r="O132" s="3" t="s">
        <v>403</v>
      </c>
      <c r="P132" s="1"/>
    </row>
    <row r="133" spans="2:16" ht="15.75" hidden="1" thickBot="1">
      <c r="B133" s="4" t="s">
        <v>408</v>
      </c>
      <c r="C133" s="4" t="s">
        <v>8</v>
      </c>
      <c r="D133" s="4" t="s">
        <v>18</v>
      </c>
      <c r="E133" s="4" t="s">
        <v>17</v>
      </c>
      <c r="F133" s="3">
        <v>130</v>
      </c>
      <c r="G133" s="4" t="s">
        <v>67</v>
      </c>
      <c r="H133" s="4" t="s">
        <v>14</v>
      </c>
      <c r="I133" s="4"/>
      <c r="J133" s="4" t="s">
        <v>298</v>
      </c>
      <c r="K133" s="4" t="s">
        <v>297</v>
      </c>
      <c r="L133" s="4" t="s">
        <v>406</v>
      </c>
      <c r="M133" s="4" t="s">
        <v>405</v>
      </c>
      <c r="N133" s="3">
        <v>0.152140319</v>
      </c>
      <c r="O133" s="3" t="s">
        <v>407</v>
      </c>
      <c r="P133" s="1"/>
    </row>
    <row r="134" spans="2:16" ht="15.75" hidden="1" thickBot="1">
      <c r="B134" s="4" t="s">
        <v>412</v>
      </c>
      <c r="C134" s="4" t="s">
        <v>8</v>
      </c>
      <c r="D134" s="4" t="s">
        <v>18</v>
      </c>
      <c r="E134" s="4" t="s">
        <v>17</v>
      </c>
      <c r="F134" s="3">
        <v>131</v>
      </c>
      <c r="G134" s="4" t="s">
        <v>28</v>
      </c>
      <c r="H134" s="4" t="s">
        <v>14</v>
      </c>
      <c r="I134" s="4"/>
      <c r="J134" s="4" t="s">
        <v>298</v>
      </c>
      <c r="K134" s="4" t="s">
        <v>297</v>
      </c>
      <c r="L134" s="4" t="s">
        <v>410</v>
      </c>
      <c r="M134" s="4" t="s">
        <v>409</v>
      </c>
      <c r="N134" s="3">
        <v>0.28257258800000001</v>
      </c>
      <c r="O134" s="3" t="s">
        <v>411</v>
      </c>
      <c r="P134" s="1"/>
    </row>
    <row r="135" spans="2:16" ht="15.75" hidden="1" thickBot="1">
      <c r="B135" s="4" t="s">
        <v>416</v>
      </c>
      <c r="C135" s="4" t="s">
        <v>8</v>
      </c>
      <c r="D135" s="4" t="s">
        <v>18</v>
      </c>
      <c r="E135" s="4" t="s">
        <v>17</v>
      </c>
      <c r="F135" s="3">
        <v>132</v>
      </c>
      <c r="G135" s="4" t="s">
        <v>67</v>
      </c>
      <c r="H135" s="4" t="s">
        <v>14</v>
      </c>
      <c r="I135" s="4"/>
      <c r="J135" s="4" t="s">
        <v>298</v>
      </c>
      <c r="K135" s="4" t="s">
        <v>297</v>
      </c>
      <c r="L135" s="4" t="s">
        <v>414</v>
      </c>
      <c r="M135" s="4" t="s">
        <v>413</v>
      </c>
      <c r="N135" s="3">
        <v>0.20151693400000001</v>
      </c>
      <c r="O135" s="3" t="s">
        <v>415</v>
      </c>
      <c r="P135" s="1"/>
    </row>
    <row r="136" spans="2:16" ht="15.75" hidden="1" thickBot="1">
      <c r="B136" s="4" t="s">
        <v>420</v>
      </c>
      <c r="C136" s="4" t="s">
        <v>8</v>
      </c>
      <c r="D136" s="4" t="s">
        <v>18</v>
      </c>
      <c r="E136" s="4" t="s">
        <v>17</v>
      </c>
      <c r="F136" s="3">
        <v>133</v>
      </c>
      <c r="G136" s="4" t="s">
        <v>28</v>
      </c>
      <c r="H136" s="4" t="s">
        <v>14</v>
      </c>
      <c r="I136" s="4"/>
      <c r="J136" s="4" t="s">
        <v>298</v>
      </c>
      <c r="K136" s="4" t="s">
        <v>297</v>
      </c>
      <c r="L136" s="4" t="s">
        <v>418</v>
      </c>
      <c r="M136" s="4" t="s">
        <v>417</v>
      </c>
      <c r="N136" s="3">
        <v>0.129769989</v>
      </c>
      <c r="O136" s="3" t="s">
        <v>419</v>
      </c>
      <c r="P136" s="1"/>
    </row>
    <row r="137" spans="2:16" ht="15.75" hidden="1" thickBot="1">
      <c r="B137" s="4" t="s">
        <v>424</v>
      </c>
      <c r="C137" s="4" t="s">
        <v>8</v>
      </c>
      <c r="D137" s="4" t="s">
        <v>18</v>
      </c>
      <c r="E137" s="4" t="s">
        <v>17</v>
      </c>
      <c r="F137" s="3">
        <v>134</v>
      </c>
      <c r="G137" s="4" t="s">
        <v>28</v>
      </c>
      <c r="H137" s="4" t="s">
        <v>14</v>
      </c>
      <c r="I137" s="4"/>
      <c r="J137" s="4" t="s">
        <v>298</v>
      </c>
      <c r="K137" s="4" t="s">
        <v>297</v>
      </c>
      <c r="L137" s="4" t="s">
        <v>422</v>
      </c>
      <c r="M137" s="4" t="s">
        <v>421</v>
      </c>
      <c r="N137" s="3">
        <v>4.4556693000000001E-2</v>
      </c>
      <c r="O137" s="3" t="s">
        <v>423</v>
      </c>
      <c r="P137" s="1"/>
    </row>
    <row r="138" spans="2:16" ht="15.75" hidden="1" thickBot="1">
      <c r="B138" s="4" t="s">
        <v>428</v>
      </c>
      <c r="C138" s="4" t="s">
        <v>8</v>
      </c>
      <c r="D138" s="4" t="s">
        <v>18</v>
      </c>
      <c r="E138" s="4" t="s">
        <v>17</v>
      </c>
      <c r="F138" s="3">
        <v>135</v>
      </c>
      <c r="G138" s="4" t="s">
        <v>340</v>
      </c>
      <c r="H138" s="4" t="s">
        <v>14</v>
      </c>
      <c r="I138" s="4"/>
      <c r="J138" s="4" t="s">
        <v>298</v>
      </c>
      <c r="K138" s="4" t="s">
        <v>297</v>
      </c>
      <c r="L138" s="4" t="s">
        <v>426</v>
      </c>
      <c r="M138" s="4" t="s">
        <v>425</v>
      </c>
      <c r="N138" s="3">
        <v>5.7348498999999997E-2</v>
      </c>
      <c r="O138" s="3" t="s">
        <v>427</v>
      </c>
      <c r="P138" s="1"/>
    </row>
    <row r="139" spans="2:16" ht="15.75" hidden="1" thickBot="1">
      <c r="B139" s="4" t="s">
        <v>432</v>
      </c>
      <c r="C139" s="4" t="s">
        <v>8</v>
      </c>
      <c r="D139" s="4" t="s">
        <v>18</v>
      </c>
      <c r="E139" s="4" t="s">
        <v>17</v>
      </c>
      <c r="F139" s="3">
        <v>136</v>
      </c>
      <c r="G139" s="4" t="s">
        <v>340</v>
      </c>
      <c r="H139" s="4" t="s">
        <v>14</v>
      </c>
      <c r="I139" s="4"/>
      <c r="J139" s="4" t="s">
        <v>298</v>
      </c>
      <c r="K139" s="4" t="s">
        <v>297</v>
      </c>
      <c r="L139" s="4" t="s">
        <v>430</v>
      </c>
      <c r="M139" s="4" t="s">
        <v>429</v>
      </c>
      <c r="N139" s="3">
        <v>5.5656007E-2</v>
      </c>
      <c r="O139" s="3" t="s">
        <v>431</v>
      </c>
      <c r="P139" s="1"/>
    </row>
    <row r="140" spans="2:16" ht="15.75" hidden="1" thickBot="1">
      <c r="B140" s="4" t="s">
        <v>436</v>
      </c>
      <c r="C140" s="4" t="s">
        <v>8</v>
      </c>
      <c r="D140" s="4" t="s">
        <v>18</v>
      </c>
      <c r="E140" s="4" t="s">
        <v>17</v>
      </c>
      <c r="F140" s="3">
        <v>137</v>
      </c>
      <c r="G140" s="4" t="s">
        <v>340</v>
      </c>
      <c r="H140" s="4" t="s">
        <v>14</v>
      </c>
      <c r="I140" s="4"/>
      <c r="J140" s="4" t="s">
        <v>298</v>
      </c>
      <c r="K140" s="4" t="s">
        <v>297</v>
      </c>
      <c r="L140" s="4" t="s">
        <v>434</v>
      </c>
      <c r="M140" s="4" t="s">
        <v>433</v>
      </c>
      <c r="N140" s="3">
        <v>0.104542046</v>
      </c>
      <c r="O140" s="3" t="s">
        <v>435</v>
      </c>
      <c r="P140" s="1"/>
    </row>
    <row r="141" spans="2:16" ht="15.75" hidden="1" thickBot="1">
      <c r="B141" s="4" t="s">
        <v>440</v>
      </c>
      <c r="C141" s="4" t="s">
        <v>8</v>
      </c>
      <c r="D141" s="4" t="s">
        <v>18</v>
      </c>
      <c r="E141" s="4" t="s">
        <v>17</v>
      </c>
      <c r="F141" s="3">
        <v>138</v>
      </c>
      <c r="G141" s="4" t="s">
        <v>340</v>
      </c>
      <c r="H141" s="4" t="s">
        <v>14</v>
      </c>
      <c r="I141" s="4"/>
      <c r="J141" s="4" t="s">
        <v>298</v>
      </c>
      <c r="K141" s="4" t="s">
        <v>297</v>
      </c>
      <c r="L141" s="4" t="s">
        <v>438</v>
      </c>
      <c r="M141" s="4" t="s">
        <v>437</v>
      </c>
      <c r="N141" s="3">
        <v>0.13319176599999999</v>
      </c>
      <c r="O141" s="3" t="s">
        <v>439</v>
      </c>
      <c r="P141" s="1"/>
    </row>
    <row r="142" spans="2:16" ht="15.75" hidden="1" thickBot="1">
      <c r="B142" s="4" t="s">
        <v>446</v>
      </c>
      <c r="C142" s="4" t="s">
        <v>8</v>
      </c>
      <c r="D142" s="4" t="s">
        <v>18</v>
      </c>
      <c r="E142" s="4" t="s">
        <v>17</v>
      </c>
      <c r="F142" s="3">
        <v>139</v>
      </c>
      <c r="G142" s="4" t="s">
        <v>28</v>
      </c>
      <c r="H142" s="4" t="s">
        <v>14</v>
      </c>
      <c r="I142" s="4"/>
      <c r="J142" s="4" t="s">
        <v>442</v>
      </c>
      <c r="K142" s="4" t="s">
        <v>441</v>
      </c>
      <c r="L142" s="4" t="s">
        <v>444</v>
      </c>
      <c r="M142" s="4" t="s">
        <v>443</v>
      </c>
      <c r="N142" s="3">
        <v>0.234359187</v>
      </c>
      <c r="O142" s="3" t="s">
        <v>445</v>
      </c>
      <c r="P142" s="1"/>
    </row>
    <row r="143" spans="2:16" ht="23.25" hidden="1" thickBot="1">
      <c r="B143" s="4" t="s">
        <v>450</v>
      </c>
      <c r="C143" s="4" t="s">
        <v>8</v>
      </c>
      <c r="D143" s="4" t="s">
        <v>18</v>
      </c>
      <c r="E143" s="4" t="s">
        <v>17</v>
      </c>
      <c r="F143" s="3">
        <v>140</v>
      </c>
      <c r="G143" s="4" t="s">
        <v>28</v>
      </c>
      <c r="H143" s="4" t="s">
        <v>14</v>
      </c>
      <c r="I143" s="4"/>
      <c r="J143" s="4" t="s">
        <v>442</v>
      </c>
      <c r="K143" s="4" t="s">
        <v>441</v>
      </c>
      <c r="L143" s="4" t="s">
        <v>448</v>
      </c>
      <c r="M143" s="4" t="s">
        <v>447</v>
      </c>
      <c r="N143" s="3">
        <v>0.30331487099999999</v>
      </c>
      <c r="O143" s="3" t="s">
        <v>449</v>
      </c>
      <c r="P143" s="1"/>
    </row>
    <row r="144" spans="2:16" ht="15.75" hidden="1" thickBot="1">
      <c r="B144" s="4" t="s">
        <v>454</v>
      </c>
      <c r="C144" s="4" t="s">
        <v>8</v>
      </c>
      <c r="D144" s="4" t="s">
        <v>18</v>
      </c>
      <c r="E144" s="4" t="s">
        <v>17</v>
      </c>
      <c r="F144" s="3">
        <v>141</v>
      </c>
      <c r="G144" s="4" t="s">
        <v>28</v>
      </c>
      <c r="H144" s="4" t="s">
        <v>14</v>
      </c>
      <c r="I144" s="4"/>
      <c r="J144" s="4" t="s">
        <v>442</v>
      </c>
      <c r="K144" s="4" t="s">
        <v>441</v>
      </c>
      <c r="L144" s="4" t="s">
        <v>452</v>
      </c>
      <c r="M144" s="4" t="s">
        <v>451</v>
      </c>
      <c r="N144" s="3">
        <v>4.7848331000000001E-2</v>
      </c>
      <c r="O144" s="3" t="s">
        <v>453</v>
      </c>
      <c r="P144" s="1"/>
    </row>
    <row r="145" spans="2:16" ht="15.75" hidden="1" thickBot="1">
      <c r="B145" s="4" t="s">
        <v>457</v>
      </c>
      <c r="C145" s="4" t="s">
        <v>8</v>
      </c>
      <c r="D145" s="4" t="s">
        <v>18</v>
      </c>
      <c r="E145" s="4" t="s">
        <v>17</v>
      </c>
      <c r="F145" s="3">
        <v>142</v>
      </c>
      <c r="G145" s="4" t="s">
        <v>44</v>
      </c>
      <c r="H145" s="4" t="s">
        <v>14</v>
      </c>
      <c r="I145" s="4"/>
      <c r="J145" s="4" t="s">
        <v>442</v>
      </c>
      <c r="K145" s="4" t="s">
        <v>441</v>
      </c>
      <c r="L145" s="4" t="s">
        <v>456</v>
      </c>
      <c r="M145" s="4" t="s">
        <v>455</v>
      </c>
      <c r="N145" s="3">
        <v>7.5644042999999994E-2</v>
      </c>
      <c r="O145" s="3" t="s">
        <v>189</v>
      </c>
      <c r="P145" s="1"/>
    </row>
    <row r="146" spans="2:16" ht="15.75" hidden="1" thickBot="1">
      <c r="B146" s="4" t="s">
        <v>461</v>
      </c>
      <c r="C146" s="4" t="s">
        <v>8</v>
      </c>
      <c r="D146" s="4" t="s">
        <v>18</v>
      </c>
      <c r="E146" s="4" t="s">
        <v>17</v>
      </c>
      <c r="F146" s="3">
        <v>143</v>
      </c>
      <c r="G146" s="4" t="s">
        <v>28</v>
      </c>
      <c r="H146" s="4" t="s">
        <v>14</v>
      </c>
      <c r="I146" s="4"/>
      <c r="J146" s="4" t="s">
        <v>442</v>
      </c>
      <c r="K146" s="4" t="s">
        <v>441</v>
      </c>
      <c r="L146" s="4" t="s">
        <v>459</v>
      </c>
      <c r="M146" s="4" t="s">
        <v>458</v>
      </c>
      <c r="N146" s="3">
        <v>4.7323615999999999E-2</v>
      </c>
      <c r="O146" s="3" t="s">
        <v>460</v>
      </c>
      <c r="P146" s="1"/>
    </row>
    <row r="147" spans="2:16" ht="15.75" hidden="1" thickBot="1">
      <c r="B147" s="4" t="s">
        <v>465</v>
      </c>
      <c r="C147" s="4" t="s">
        <v>8</v>
      </c>
      <c r="D147" s="4" t="s">
        <v>18</v>
      </c>
      <c r="E147" s="4" t="s">
        <v>17</v>
      </c>
      <c r="F147" s="3">
        <v>144</v>
      </c>
      <c r="G147" s="4" t="s">
        <v>319</v>
      </c>
      <c r="H147" s="4" t="s">
        <v>14</v>
      </c>
      <c r="I147" s="4"/>
      <c r="J147" s="4" t="s">
        <v>442</v>
      </c>
      <c r="K147" s="4" t="s">
        <v>441</v>
      </c>
      <c r="L147" s="4" t="s">
        <v>463</v>
      </c>
      <c r="M147" s="4" t="s">
        <v>462</v>
      </c>
      <c r="N147" s="3">
        <v>9.2179659999999993E-3</v>
      </c>
      <c r="O147" s="3" t="s">
        <v>464</v>
      </c>
      <c r="P147" s="1"/>
    </row>
    <row r="148" spans="2:16" ht="15.75" hidden="1" thickBot="1">
      <c r="B148" s="4" t="s">
        <v>469</v>
      </c>
      <c r="C148" s="4" t="s">
        <v>8</v>
      </c>
      <c r="D148" s="4" t="s">
        <v>18</v>
      </c>
      <c r="E148" s="4" t="s">
        <v>17</v>
      </c>
      <c r="F148" s="3">
        <v>145</v>
      </c>
      <c r="G148" s="4" t="s">
        <v>28</v>
      </c>
      <c r="H148" s="4" t="s">
        <v>14</v>
      </c>
      <c r="I148" s="4"/>
      <c r="J148" s="4" t="s">
        <v>442</v>
      </c>
      <c r="K148" s="4" t="s">
        <v>441</v>
      </c>
      <c r="L148" s="4" t="s">
        <v>467</v>
      </c>
      <c r="M148" s="4" t="s">
        <v>466</v>
      </c>
      <c r="N148" s="3">
        <v>5.1336969999999996E-3</v>
      </c>
      <c r="O148" s="3" t="s">
        <v>468</v>
      </c>
      <c r="P148" s="1"/>
    </row>
    <row r="149" spans="2:16" ht="15.75" hidden="1" thickBot="1">
      <c r="B149" s="4" t="s">
        <v>473</v>
      </c>
      <c r="C149" s="4" t="s">
        <v>8</v>
      </c>
      <c r="D149" s="4" t="s">
        <v>18</v>
      </c>
      <c r="E149" s="4" t="s">
        <v>17</v>
      </c>
      <c r="F149" s="3">
        <v>146</v>
      </c>
      <c r="G149" s="4" t="s">
        <v>28</v>
      </c>
      <c r="H149" s="4" t="s">
        <v>14</v>
      </c>
      <c r="I149" s="4"/>
      <c r="J149" s="4" t="s">
        <v>442</v>
      </c>
      <c r="K149" s="4" t="s">
        <v>441</v>
      </c>
      <c r="L149" s="4" t="s">
        <v>471</v>
      </c>
      <c r="M149" s="4" t="s">
        <v>470</v>
      </c>
      <c r="N149" s="3">
        <v>9.8419509999999998E-3</v>
      </c>
      <c r="O149" s="3" t="s">
        <v>472</v>
      </c>
      <c r="P149" s="1"/>
    </row>
    <row r="150" spans="2:16" ht="15.75" hidden="1" thickBot="1">
      <c r="B150" s="4" t="s">
        <v>477</v>
      </c>
      <c r="C150" s="4" t="s">
        <v>8</v>
      </c>
      <c r="D150" s="4" t="s">
        <v>18</v>
      </c>
      <c r="E150" s="4" t="s">
        <v>17</v>
      </c>
      <c r="F150" s="3">
        <v>147</v>
      </c>
      <c r="G150" s="4" t="s">
        <v>28</v>
      </c>
      <c r="H150" s="4" t="s">
        <v>14</v>
      </c>
      <c r="I150" s="4"/>
      <c r="J150" s="4" t="s">
        <v>442</v>
      </c>
      <c r="K150" s="4" t="s">
        <v>441</v>
      </c>
      <c r="L150" s="4" t="s">
        <v>475</v>
      </c>
      <c r="M150" s="4" t="s">
        <v>474</v>
      </c>
      <c r="N150" s="3">
        <v>5.1053339999999996E-3</v>
      </c>
      <c r="O150" s="3" t="s">
        <v>476</v>
      </c>
      <c r="P150" s="1"/>
    </row>
    <row r="151" spans="2:16" ht="15.75" hidden="1" thickBot="1">
      <c r="B151" s="4" t="s">
        <v>481</v>
      </c>
      <c r="C151" s="4" t="s">
        <v>8</v>
      </c>
      <c r="D151" s="4" t="s">
        <v>18</v>
      </c>
      <c r="E151" s="4" t="s">
        <v>17</v>
      </c>
      <c r="F151" s="3">
        <v>148</v>
      </c>
      <c r="G151" s="4" t="s">
        <v>44</v>
      </c>
      <c r="H151" s="4" t="s">
        <v>14</v>
      </c>
      <c r="I151" s="4"/>
      <c r="J151" s="4" t="s">
        <v>442</v>
      </c>
      <c r="K151" s="4" t="s">
        <v>441</v>
      </c>
      <c r="L151" s="4" t="s">
        <v>479</v>
      </c>
      <c r="M151" s="4" t="s">
        <v>478</v>
      </c>
      <c r="N151" s="3">
        <v>7.2492208000000002E-2</v>
      </c>
      <c r="O151" s="3" t="s">
        <v>480</v>
      </c>
      <c r="P151" s="1"/>
    </row>
    <row r="152" spans="2:16" ht="15.75" hidden="1" thickBot="1">
      <c r="B152" s="4" t="s">
        <v>485</v>
      </c>
      <c r="C152" s="4" t="s">
        <v>8</v>
      </c>
      <c r="D152" s="4" t="s">
        <v>18</v>
      </c>
      <c r="E152" s="4" t="s">
        <v>17</v>
      </c>
      <c r="F152" s="3">
        <v>149</v>
      </c>
      <c r="G152" s="4" t="s">
        <v>114</v>
      </c>
      <c r="H152" s="4" t="s">
        <v>14</v>
      </c>
      <c r="I152" s="4"/>
      <c r="J152" s="4" t="s">
        <v>442</v>
      </c>
      <c r="K152" s="4" t="s">
        <v>441</v>
      </c>
      <c r="L152" s="4" t="s">
        <v>483</v>
      </c>
      <c r="M152" s="4" t="s">
        <v>482</v>
      </c>
      <c r="N152" s="3">
        <v>0.189240036</v>
      </c>
      <c r="O152" s="3" t="s">
        <v>484</v>
      </c>
      <c r="P152" s="1"/>
    </row>
    <row r="153" spans="2:16" ht="15.75" hidden="1" thickBot="1">
      <c r="B153" s="4" t="s">
        <v>489</v>
      </c>
      <c r="C153" s="4" t="s">
        <v>8</v>
      </c>
      <c r="D153" s="4" t="s">
        <v>18</v>
      </c>
      <c r="E153" s="4" t="s">
        <v>17</v>
      </c>
      <c r="F153" s="3">
        <v>150</v>
      </c>
      <c r="G153" s="4" t="s">
        <v>44</v>
      </c>
      <c r="H153" s="4" t="s">
        <v>14</v>
      </c>
      <c r="I153" s="4"/>
      <c r="J153" s="4" t="s">
        <v>442</v>
      </c>
      <c r="K153" s="4" t="s">
        <v>441</v>
      </c>
      <c r="L153" s="4" t="s">
        <v>487</v>
      </c>
      <c r="M153" s="4" t="s">
        <v>486</v>
      </c>
      <c r="N153" s="3">
        <v>0.13729766099999999</v>
      </c>
      <c r="O153" s="3" t="s">
        <v>488</v>
      </c>
      <c r="P153" s="1"/>
    </row>
    <row r="154" spans="2:16" ht="15.75" hidden="1" thickBot="1">
      <c r="B154" s="4" t="s">
        <v>493</v>
      </c>
      <c r="C154" s="4" t="s">
        <v>8</v>
      </c>
      <c r="D154" s="4" t="s">
        <v>18</v>
      </c>
      <c r="E154" s="4" t="s">
        <v>17</v>
      </c>
      <c r="F154" s="3">
        <v>151</v>
      </c>
      <c r="G154" s="4" t="s">
        <v>114</v>
      </c>
      <c r="H154" s="4" t="s">
        <v>14</v>
      </c>
      <c r="I154" s="4"/>
      <c r="J154" s="4" t="s">
        <v>442</v>
      </c>
      <c r="K154" s="4" t="s">
        <v>441</v>
      </c>
      <c r="L154" s="4" t="s">
        <v>491</v>
      </c>
      <c r="M154" s="4" t="s">
        <v>490</v>
      </c>
      <c r="N154" s="3">
        <v>0.19187549800000001</v>
      </c>
      <c r="O154" s="3" t="s">
        <v>492</v>
      </c>
      <c r="P154" s="1"/>
    </row>
    <row r="155" spans="2:16" ht="15.75" hidden="1" thickBot="1">
      <c r="B155" s="4" t="s">
        <v>497</v>
      </c>
      <c r="C155" s="4" t="s">
        <v>8</v>
      </c>
      <c r="D155" s="4" t="s">
        <v>18</v>
      </c>
      <c r="E155" s="4" t="s">
        <v>17</v>
      </c>
      <c r="F155" s="3">
        <v>152</v>
      </c>
      <c r="G155" s="4" t="s">
        <v>114</v>
      </c>
      <c r="H155" s="4" t="s">
        <v>14</v>
      </c>
      <c r="I155" s="4"/>
      <c r="J155" s="4" t="s">
        <v>442</v>
      </c>
      <c r="K155" s="4" t="s">
        <v>441</v>
      </c>
      <c r="L155" s="4" t="s">
        <v>495</v>
      </c>
      <c r="M155" s="4" t="s">
        <v>494</v>
      </c>
      <c r="N155" s="3">
        <v>0.132964256</v>
      </c>
      <c r="O155" s="3" t="s">
        <v>496</v>
      </c>
      <c r="P155" s="1"/>
    </row>
    <row r="156" spans="2:16" ht="15.75" hidden="1" thickBot="1">
      <c r="B156" s="4" t="s">
        <v>501</v>
      </c>
      <c r="C156" s="4" t="s">
        <v>8</v>
      </c>
      <c r="D156" s="4" t="s">
        <v>18</v>
      </c>
      <c r="E156" s="4" t="s">
        <v>17</v>
      </c>
      <c r="F156" s="3">
        <v>153</v>
      </c>
      <c r="G156" s="4" t="s">
        <v>28</v>
      </c>
      <c r="H156" s="4" t="s">
        <v>14</v>
      </c>
      <c r="I156" s="4"/>
      <c r="J156" s="4" t="s">
        <v>442</v>
      </c>
      <c r="K156" s="4" t="s">
        <v>441</v>
      </c>
      <c r="L156" s="4" t="s">
        <v>499</v>
      </c>
      <c r="M156" s="4" t="s">
        <v>498</v>
      </c>
      <c r="N156" s="3">
        <v>0.44592632100000001</v>
      </c>
      <c r="O156" s="3" t="s">
        <v>500</v>
      </c>
      <c r="P156" s="1"/>
    </row>
    <row r="157" spans="2:16" ht="15.75" hidden="1" thickBot="1">
      <c r="B157" s="4" t="s">
        <v>505</v>
      </c>
      <c r="C157" s="4" t="s">
        <v>8</v>
      </c>
      <c r="D157" s="4" t="s">
        <v>18</v>
      </c>
      <c r="E157" s="4" t="s">
        <v>17</v>
      </c>
      <c r="F157" s="3">
        <v>154</v>
      </c>
      <c r="G157" s="4" t="s">
        <v>67</v>
      </c>
      <c r="H157" s="4" t="s">
        <v>14</v>
      </c>
      <c r="I157" s="4"/>
      <c r="J157" s="4" t="s">
        <v>442</v>
      </c>
      <c r="K157" s="4" t="s">
        <v>441</v>
      </c>
      <c r="L157" s="4" t="s">
        <v>503</v>
      </c>
      <c r="M157" s="4" t="s">
        <v>502</v>
      </c>
      <c r="N157" s="3">
        <v>0.30341502399999998</v>
      </c>
      <c r="O157" s="3" t="s">
        <v>504</v>
      </c>
      <c r="P157" s="1"/>
    </row>
    <row r="158" spans="2:16" ht="15.75" hidden="1" thickBot="1">
      <c r="B158" s="4" t="s">
        <v>302</v>
      </c>
      <c r="C158" s="4" t="s">
        <v>8</v>
      </c>
      <c r="D158" s="4" t="s">
        <v>117</v>
      </c>
      <c r="E158" s="4" t="s">
        <v>17</v>
      </c>
      <c r="F158" s="3">
        <v>155</v>
      </c>
      <c r="G158" s="4" t="s">
        <v>245</v>
      </c>
      <c r="H158" s="4" t="s">
        <v>14</v>
      </c>
      <c r="I158" s="4"/>
      <c r="J158" s="4" t="s">
        <v>507</v>
      </c>
      <c r="K158" s="4" t="s">
        <v>506</v>
      </c>
      <c r="L158" s="4" t="s">
        <v>300</v>
      </c>
      <c r="M158" s="4" t="s">
        <v>299</v>
      </c>
      <c r="N158" s="3">
        <v>0.19681965100000001</v>
      </c>
      <c r="O158" s="3" t="s">
        <v>301</v>
      </c>
      <c r="P158" s="1"/>
    </row>
    <row r="159" spans="2:16" ht="15.75" hidden="1" thickBot="1">
      <c r="B159" s="4" t="s">
        <v>306</v>
      </c>
      <c r="C159" s="4" t="s">
        <v>8</v>
      </c>
      <c r="D159" s="4" t="s">
        <v>117</v>
      </c>
      <c r="E159" s="4" t="s">
        <v>17</v>
      </c>
      <c r="F159" s="3">
        <v>156</v>
      </c>
      <c r="G159" s="4" t="s">
        <v>245</v>
      </c>
      <c r="H159" s="4" t="s">
        <v>14</v>
      </c>
      <c r="I159" s="4"/>
      <c r="J159" s="4" t="s">
        <v>507</v>
      </c>
      <c r="K159" s="4" t="s">
        <v>506</v>
      </c>
      <c r="L159" s="4" t="s">
        <v>304</v>
      </c>
      <c r="M159" s="4" t="s">
        <v>303</v>
      </c>
      <c r="N159" s="3">
        <v>0.257213627</v>
      </c>
      <c r="O159" s="3" t="s">
        <v>305</v>
      </c>
      <c r="P159" s="1"/>
    </row>
    <row r="160" spans="2:16" ht="15.75" hidden="1" thickBot="1">
      <c r="B160" s="4" t="s">
        <v>310</v>
      </c>
      <c r="C160" s="4" t="s">
        <v>8</v>
      </c>
      <c r="D160" s="4" t="s">
        <v>117</v>
      </c>
      <c r="E160" s="4" t="s">
        <v>17</v>
      </c>
      <c r="F160" s="3">
        <v>157</v>
      </c>
      <c r="G160" s="4" t="s">
        <v>245</v>
      </c>
      <c r="H160" s="4" t="s">
        <v>14</v>
      </c>
      <c r="I160" s="4"/>
      <c r="J160" s="4" t="s">
        <v>507</v>
      </c>
      <c r="K160" s="4" t="s">
        <v>506</v>
      </c>
      <c r="L160" s="4" t="s">
        <v>308</v>
      </c>
      <c r="M160" s="4" t="s">
        <v>307</v>
      </c>
      <c r="N160" s="3">
        <v>0.50094645500000001</v>
      </c>
      <c r="O160" s="3" t="s">
        <v>309</v>
      </c>
      <c r="P160" s="1"/>
    </row>
    <row r="161" spans="2:16" ht="15.75" hidden="1" thickBot="1">
      <c r="B161" s="4" t="s">
        <v>314</v>
      </c>
      <c r="C161" s="4" t="s">
        <v>8</v>
      </c>
      <c r="D161" s="4" t="s">
        <v>117</v>
      </c>
      <c r="E161" s="4" t="s">
        <v>17</v>
      </c>
      <c r="F161" s="3">
        <v>158</v>
      </c>
      <c r="G161" s="4" t="s">
        <v>28</v>
      </c>
      <c r="H161" s="4" t="s">
        <v>14</v>
      </c>
      <c r="I161" s="4"/>
      <c r="J161" s="4" t="s">
        <v>507</v>
      </c>
      <c r="K161" s="4" t="s">
        <v>506</v>
      </c>
      <c r="L161" s="4" t="s">
        <v>312</v>
      </c>
      <c r="M161" s="4" t="s">
        <v>311</v>
      </c>
      <c r="N161" s="3">
        <v>0.79374938900000003</v>
      </c>
      <c r="O161" s="3" t="s">
        <v>313</v>
      </c>
      <c r="P161" s="1"/>
    </row>
    <row r="162" spans="2:16" ht="15.75" hidden="1" thickBot="1">
      <c r="B162" s="4" t="s">
        <v>511</v>
      </c>
      <c r="C162" s="4" t="s">
        <v>8</v>
      </c>
      <c r="D162" s="4" t="s">
        <v>117</v>
      </c>
      <c r="E162" s="4" t="s">
        <v>17</v>
      </c>
      <c r="F162" s="3">
        <v>159</v>
      </c>
      <c r="G162" s="4" t="s">
        <v>67</v>
      </c>
      <c r="H162" s="4" t="s">
        <v>14</v>
      </c>
      <c r="I162" s="4"/>
      <c r="J162" s="4" t="s">
        <v>507</v>
      </c>
      <c r="K162" s="4" t="s">
        <v>506</v>
      </c>
      <c r="L162" s="4" t="s">
        <v>509</v>
      </c>
      <c r="M162" s="4" t="s">
        <v>508</v>
      </c>
      <c r="N162" s="3">
        <v>3.3892546289999999</v>
      </c>
      <c r="O162" s="3" t="s">
        <v>510</v>
      </c>
      <c r="P162" s="1"/>
    </row>
    <row r="163" spans="2:16" ht="15.75" hidden="1" thickBot="1">
      <c r="B163" s="4" t="s">
        <v>515</v>
      </c>
      <c r="C163" s="4" t="s">
        <v>8</v>
      </c>
      <c r="D163" s="4" t="s">
        <v>117</v>
      </c>
      <c r="E163" s="4" t="s">
        <v>17</v>
      </c>
      <c r="F163" s="3">
        <v>160</v>
      </c>
      <c r="G163" s="4" t="s">
        <v>67</v>
      </c>
      <c r="H163" s="4" t="s">
        <v>14</v>
      </c>
      <c r="I163" s="4"/>
      <c r="J163" s="4" t="s">
        <v>507</v>
      </c>
      <c r="K163" s="4" t="s">
        <v>506</v>
      </c>
      <c r="L163" s="4" t="s">
        <v>513</v>
      </c>
      <c r="M163" s="4" t="s">
        <v>512</v>
      </c>
      <c r="N163" s="3">
        <v>4.1495757050000002</v>
      </c>
      <c r="O163" s="3" t="s">
        <v>514</v>
      </c>
      <c r="P163" s="1"/>
    </row>
    <row r="164" spans="2:16" ht="15.75" hidden="1" thickBot="1">
      <c r="B164" s="4" t="s">
        <v>519</v>
      </c>
      <c r="C164" s="4" t="s">
        <v>8</v>
      </c>
      <c r="D164" s="4" t="s">
        <v>117</v>
      </c>
      <c r="E164" s="4" t="s">
        <v>17</v>
      </c>
      <c r="F164" s="3">
        <v>161</v>
      </c>
      <c r="G164" s="4" t="s">
        <v>67</v>
      </c>
      <c r="H164" s="4" t="s">
        <v>14</v>
      </c>
      <c r="I164" s="4"/>
      <c r="J164" s="4" t="s">
        <v>507</v>
      </c>
      <c r="K164" s="4" t="s">
        <v>506</v>
      </c>
      <c r="L164" s="4" t="s">
        <v>517</v>
      </c>
      <c r="M164" s="4" t="s">
        <v>516</v>
      </c>
      <c r="N164" s="3">
        <v>3.7810668409999999</v>
      </c>
      <c r="O164" s="3" t="s">
        <v>518</v>
      </c>
      <c r="P164" s="1"/>
    </row>
    <row r="165" spans="2:16" ht="15.75" hidden="1" thickBot="1">
      <c r="B165" s="4" t="s">
        <v>121</v>
      </c>
      <c r="C165" s="4" t="s">
        <v>8</v>
      </c>
      <c r="D165" s="4" t="s">
        <v>117</v>
      </c>
      <c r="E165" s="4" t="s">
        <v>17</v>
      </c>
      <c r="F165" s="3">
        <v>162</v>
      </c>
      <c r="G165" s="4" t="s">
        <v>114</v>
      </c>
      <c r="H165" s="4" t="s">
        <v>14</v>
      </c>
      <c r="I165" s="4"/>
      <c r="J165" s="4" t="s">
        <v>507</v>
      </c>
      <c r="K165" s="4" t="s">
        <v>506</v>
      </c>
      <c r="L165" s="4" t="s">
        <v>119</v>
      </c>
      <c r="M165" s="4" t="s">
        <v>118</v>
      </c>
      <c r="N165" s="3">
        <v>0.245570606</v>
      </c>
      <c r="O165" s="3" t="s">
        <v>120</v>
      </c>
      <c r="P165" s="1"/>
    </row>
    <row r="166" spans="2:16" ht="15.75" hidden="1" thickBot="1">
      <c r="B166" s="4" t="s">
        <v>125</v>
      </c>
      <c r="C166" s="4" t="s">
        <v>8</v>
      </c>
      <c r="D166" s="4" t="s">
        <v>117</v>
      </c>
      <c r="E166" s="4" t="s">
        <v>17</v>
      </c>
      <c r="F166" s="3">
        <v>163</v>
      </c>
      <c r="G166" s="4" t="s">
        <v>114</v>
      </c>
      <c r="H166" s="4" t="s">
        <v>14</v>
      </c>
      <c r="I166" s="4"/>
      <c r="J166" s="4" t="s">
        <v>507</v>
      </c>
      <c r="K166" s="4" t="s">
        <v>506</v>
      </c>
      <c r="L166" s="4" t="s">
        <v>123</v>
      </c>
      <c r="M166" s="4" t="s">
        <v>122</v>
      </c>
      <c r="N166" s="3">
        <v>0.26908985400000002</v>
      </c>
      <c r="O166" s="3" t="s">
        <v>124</v>
      </c>
      <c r="P166" s="1"/>
    </row>
    <row r="167" spans="2:16" ht="15.75" hidden="1" thickBot="1">
      <c r="B167" s="4" t="s">
        <v>446</v>
      </c>
      <c r="C167" s="4" t="s">
        <v>8</v>
      </c>
      <c r="D167" s="4" t="s">
        <v>117</v>
      </c>
      <c r="E167" s="4" t="s">
        <v>17</v>
      </c>
      <c r="F167" s="3">
        <v>164</v>
      </c>
      <c r="G167" s="4" t="s">
        <v>28</v>
      </c>
      <c r="H167" s="4" t="s">
        <v>14</v>
      </c>
      <c r="I167" s="4"/>
      <c r="J167" s="4" t="s">
        <v>507</v>
      </c>
      <c r="K167" s="4" t="s">
        <v>506</v>
      </c>
      <c r="L167" s="4" t="s">
        <v>444</v>
      </c>
      <c r="M167" s="4" t="s">
        <v>443</v>
      </c>
      <c r="N167" s="3">
        <v>3.8399293640000001</v>
      </c>
      <c r="O167" s="3" t="s">
        <v>445</v>
      </c>
      <c r="P167" s="1"/>
    </row>
    <row r="168" spans="2:16" ht="23.25" hidden="1" thickBot="1">
      <c r="B168" s="4" t="s">
        <v>450</v>
      </c>
      <c r="C168" s="4" t="s">
        <v>8</v>
      </c>
      <c r="D168" s="4" t="s">
        <v>117</v>
      </c>
      <c r="E168" s="4" t="s">
        <v>17</v>
      </c>
      <c r="F168" s="3">
        <v>165</v>
      </c>
      <c r="G168" s="4" t="s">
        <v>28</v>
      </c>
      <c r="H168" s="4" t="s">
        <v>14</v>
      </c>
      <c r="I168" s="4"/>
      <c r="J168" s="4" t="s">
        <v>507</v>
      </c>
      <c r="K168" s="4" t="s">
        <v>506</v>
      </c>
      <c r="L168" s="4" t="s">
        <v>448</v>
      </c>
      <c r="M168" s="4" t="s">
        <v>447</v>
      </c>
      <c r="N168" s="3">
        <v>4.9697547330000003</v>
      </c>
      <c r="O168" s="3" t="s">
        <v>449</v>
      </c>
      <c r="P168" s="1"/>
    </row>
    <row r="169" spans="2:16" ht="15.75" hidden="1" thickBot="1">
      <c r="B169" s="4" t="s">
        <v>318</v>
      </c>
      <c r="C169" s="4" t="s">
        <v>8</v>
      </c>
      <c r="D169" s="4" t="s">
        <v>117</v>
      </c>
      <c r="E169" s="4" t="s">
        <v>17</v>
      </c>
      <c r="F169" s="3">
        <v>166</v>
      </c>
      <c r="G169" s="4" t="s">
        <v>28</v>
      </c>
      <c r="H169" s="4" t="s">
        <v>14</v>
      </c>
      <c r="I169" s="4"/>
      <c r="J169" s="4" t="s">
        <v>507</v>
      </c>
      <c r="K169" s="4" t="s">
        <v>506</v>
      </c>
      <c r="L169" s="4" t="s">
        <v>316</v>
      </c>
      <c r="M169" s="4" t="s">
        <v>315</v>
      </c>
      <c r="N169" s="3">
        <v>3.4119216940000001</v>
      </c>
      <c r="O169" s="3" t="s">
        <v>317</v>
      </c>
      <c r="P169" s="1"/>
    </row>
    <row r="170" spans="2:16" ht="15.75" hidden="1" thickBot="1">
      <c r="B170" s="4" t="s">
        <v>323</v>
      </c>
      <c r="C170" s="4" t="s">
        <v>8</v>
      </c>
      <c r="D170" s="4" t="s">
        <v>117</v>
      </c>
      <c r="E170" s="4" t="s">
        <v>17</v>
      </c>
      <c r="F170" s="3">
        <v>167</v>
      </c>
      <c r="G170" s="4" t="s">
        <v>319</v>
      </c>
      <c r="H170" s="4" t="s">
        <v>14</v>
      </c>
      <c r="I170" s="4"/>
      <c r="J170" s="4" t="s">
        <v>507</v>
      </c>
      <c r="K170" s="4" t="s">
        <v>506</v>
      </c>
      <c r="L170" s="4" t="s">
        <v>321</v>
      </c>
      <c r="M170" s="4" t="s">
        <v>320</v>
      </c>
      <c r="N170" s="3">
        <v>0.50148568699999996</v>
      </c>
      <c r="O170" s="3" t="s">
        <v>322</v>
      </c>
      <c r="P170" s="1"/>
    </row>
    <row r="171" spans="2:16" ht="15.75" hidden="1" thickBot="1">
      <c r="B171" s="4" t="s">
        <v>327</v>
      </c>
      <c r="C171" s="4" t="s">
        <v>8</v>
      </c>
      <c r="D171" s="4" t="s">
        <v>117</v>
      </c>
      <c r="E171" s="4" t="s">
        <v>17</v>
      </c>
      <c r="F171" s="3">
        <v>168</v>
      </c>
      <c r="G171" s="4" t="s">
        <v>67</v>
      </c>
      <c r="H171" s="4" t="s">
        <v>14</v>
      </c>
      <c r="I171" s="4"/>
      <c r="J171" s="4" t="s">
        <v>507</v>
      </c>
      <c r="K171" s="4" t="s">
        <v>506</v>
      </c>
      <c r="L171" s="4" t="s">
        <v>325</v>
      </c>
      <c r="M171" s="4" t="s">
        <v>324</v>
      </c>
      <c r="N171" s="3">
        <v>1.9014425580000001</v>
      </c>
      <c r="O171" s="3" t="s">
        <v>326</v>
      </c>
      <c r="P171" s="1"/>
    </row>
    <row r="172" spans="2:16" ht="15.75" hidden="1" thickBot="1">
      <c r="B172" s="4" t="s">
        <v>331</v>
      </c>
      <c r="C172" s="4" t="s">
        <v>8</v>
      </c>
      <c r="D172" s="4" t="s">
        <v>117</v>
      </c>
      <c r="E172" s="4" t="s">
        <v>17</v>
      </c>
      <c r="F172" s="3">
        <v>169</v>
      </c>
      <c r="G172" s="4" t="s">
        <v>28</v>
      </c>
      <c r="H172" s="4" t="s">
        <v>14</v>
      </c>
      <c r="I172" s="4"/>
      <c r="J172" s="4" t="s">
        <v>507</v>
      </c>
      <c r="K172" s="4" t="s">
        <v>506</v>
      </c>
      <c r="L172" s="4" t="s">
        <v>329</v>
      </c>
      <c r="M172" s="4" t="s">
        <v>328</v>
      </c>
      <c r="N172" s="3">
        <v>0.87032032199999998</v>
      </c>
      <c r="O172" s="3" t="s">
        <v>330</v>
      </c>
      <c r="P172" s="1"/>
    </row>
    <row r="173" spans="2:16" ht="15.75" hidden="1" thickBot="1">
      <c r="B173" s="4" t="s">
        <v>335</v>
      </c>
      <c r="C173" s="4" t="s">
        <v>8</v>
      </c>
      <c r="D173" s="4" t="s">
        <v>117</v>
      </c>
      <c r="E173" s="4" t="s">
        <v>17</v>
      </c>
      <c r="F173" s="3">
        <v>170</v>
      </c>
      <c r="G173" s="4" t="s">
        <v>28</v>
      </c>
      <c r="H173" s="4" t="s">
        <v>14</v>
      </c>
      <c r="I173" s="4"/>
      <c r="J173" s="4" t="s">
        <v>507</v>
      </c>
      <c r="K173" s="4" t="s">
        <v>506</v>
      </c>
      <c r="L173" s="4" t="s">
        <v>333</v>
      </c>
      <c r="M173" s="4" t="s">
        <v>332</v>
      </c>
      <c r="N173" s="3">
        <v>1.166358647</v>
      </c>
      <c r="O173" s="3" t="s">
        <v>334</v>
      </c>
      <c r="P173" s="1"/>
    </row>
    <row r="174" spans="2:16" ht="15.75" hidden="1" thickBot="1">
      <c r="B174" s="4" t="s">
        <v>339</v>
      </c>
      <c r="C174" s="4" t="s">
        <v>8</v>
      </c>
      <c r="D174" s="4" t="s">
        <v>117</v>
      </c>
      <c r="E174" s="4" t="s">
        <v>17</v>
      </c>
      <c r="F174" s="3">
        <v>171</v>
      </c>
      <c r="G174" s="4" t="s">
        <v>28</v>
      </c>
      <c r="H174" s="4" t="s">
        <v>14</v>
      </c>
      <c r="I174" s="4"/>
      <c r="J174" s="4" t="s">
        <v>507</v>
      </c>
      <c r="K174" s="4" t="s">
        <v>506</v>
      </c>
      <c r="L174" s="4" t="s">
        <v>337</v>
      </c>
      <c r="M174" s="4" t="s">
        <v>336</v>
      </c>
      <c r="N174" s="3">
        <v>1.1090922169999999</v>
      </c>
      <c r="O174" s="3" t="s">
        <v>338</v>
      </c>
      <c r="P174" s="1"/>
    </row>
    <row r="175" spans="2:16" ht="15.75" hidden="1" thickBot="1">
      <c r="B175" s="4" t="s">
        <v>454</v>
      </c>
      <c r="C175" s="4" t="s">
        <v>8</v>
      </c>
      <c r="D175" s="4" t="s">
        <v>117</v>
      </c>
      <c r="E175" s="4" t="s">
        <v>17</v>
      </c>
      <c r="F175" s="3">
        <v>172</v>
      </c>
      <c r="G175" s="4" t="s">
        <v>28</v>
      </c>
      <c r="H175" s="4" t="s">
        <v>14</v>
      </c>
      <c r="I175" s="4"/>
      <c r="J175" s="4" t="s">
        <v>507</v>
      </c>
      <c r="K175" s="4" t="s">
        <v>506</v>
      </c>
      <c r="L175" s="4" t="s">
        <v>452</v>
      </c>
      <c r="M175" s="4" t="s">
        <v>451</v>
      </c>
      <c r="N175" s="3">
        <v>0.75582720400000003</v>
      </c>
      <c r="O175" s="3" t="s">
        <v>453</v>
      </c>
      <c r="P175" s="1"/>
    </row>
    <row r="176" spans="2:16" ht="15.75" hidden="1" thickBot="1">
      <c r="B176" s="4" t="s">
        <v>457</v>
      </c>
      <c r="C176" s="4" t="s">
        <v>8</v>
      </c>
      <c r="D176" s="4" t="s">
        <v>117</v>
      </c>
      <c r="E176" s="4" t="s">
        <v>17</v>
      </c>
      <c r="F176" s="3">
        <v>173</v>
      </c>
      <c r="G176" s="4" t="s">
        <v>44</v>
      </c>
      <c r="H176" s="4" t="s">
        <v>14</v>
      </c>
      <c r="I176" s="4"/>
      <c r="J176" s="4" t="s">
        <v>507</v>
      </c>
      <c r="K176" s="4" t="s">
        <v>506</v>
      </c>
      <c r="L176" s="4" t="s">
        <v>456</v>
      </c>
      <c r="M176" s="4" t="s">
        <v>455</v>
      </c>
      <c r="N176" s="3">
        <v>1.1948969490000001</v>
      </c>
      <c r="O176" s="3" t="s">
        <v>189</v>
      </c>
      <c r="P176" s="1"/>
    </row>
    <row r="177" spans="2:16" ht="15.75" hidden="1" thickBot="1">
      <c r="B177" s="4" t="s">
        <v>461</v>
      </c>
      <c r="C177" s="4" t="s">
        <v>8</v>
      </c>
      <c r="D177" s="4" t="s">
        <v>117</v>
      </c>
      <c r="E177" s="4" t="s">
        <v>17</v>
      </c>
      <c r="F177" s="3">
        <v>174</v>
      </c>
      <c r="G177" s="4" t="s">
        <v>28</v>
      </c>
      <c r="H177" s="4" t="s">
        <v>14</v>
      </c>
      <c r="I177" s="4"/>
      <c r="J177" s="4" t="s">
        <v>507</v>
      </c>
      <c r="K177" s="4" t="s">
        <v>506</v>
      </c>
      <c r="L177" s="4" t="s">
        <v>459</v>
      </c>
      <c r="M177" s="4" t="s">
        <v>458</v>
      </c>
      <c r="N177" s="3">
        <v>0.74753864199999998</v>
      </c>
      <c r="O177" s="3" t="s">
        <v>460</v>
      </c>
      <c r="P177" s="1"/>
    </row>
    <row r="178" spans="2:16" ht="15.75" hidden="1" thickBot="1">
      <c r="B178" s="4" t="s">
        <v>249</v>
      </c>
      <c r="C178" s="4" t="s">
        <v>8</v>
      </c>
      <c r="D178" s="4" t="s">
        <v>117</v>
      </c>
      <c r="E178" s="4" t="s">
        <v>17</v>
      </c>
      <c r="F178" s="3">
        <v>175</v>
      </c>
      <c r="G178" s="4" t="s">
        <v>245</v>
      </c>
      <c r="H178" s="4" t="s">
        <v>14</v>
      </c>
      <c r="I178" s="4"/>
      <c r="J178" s="4" t="s">
        <v>507</v>
      </c>
      <c r="K178" s="4" t="s">
        <v>506</v>
      </c>
      <c r="L178" s="4" t="s">
        <v>247</v>
      </c>
      <c r="M178" s="4" t="s">
        <v>246</v>
      </c>
      <c r="N178" s="3">
        <v>0.85326802599999996</v>
      </c>
      <c r="O178" s="3" t="s">
        <v>248</v>
      </c>
      <c r="P178" s="1"/>
    </row>
    <row r="179" spans="2:16" ht="15.75" hidden="1" thickBot="1">
      <c r="B179" s="4" t="s">
        <v>465</v>
      </c>
      <c r="C179" s="4" t="s">
        <v>8</v>
      </c>
      <c r="D179" s="4" t="s">
        <v>117</v>
      </c>
      <c r="E179" s="4" t="s">
        <v>17</v>
      </c>
      <c r="F179" s="3">
        <v>176</v>
      </c>
      <c r="G179" s="4" t="s">
        <v>319</v>
      </c>
      <c r="H179" s="4" t="s">
        <v>14</v>
      </c>
      <c r="I179" s="4"/>
      <c r="J179" s="4" t="s">
        <v>507</v>
      </c>
      <c r="K179" s="4" t="s">
        <v>506</v>
      </c>
      <c r="L179" s="4" t="s">
        <v>463</v>
      </c>
      <c r="M179" s="4" t="s">
        <v>462</v>
      </c>
      <c r="N179" s="3">
        <v>0.145609865</v>
      </c>
      <c r="O179" s="3" t="s">
        <v>464</v>
      </c>
      <c r="P179" s="1"/>
    </row>
    <row r="180" spans="2:16" ht="15.75" hidden="1" thickBot="1">
      <c r="B180" s="4" t="s">
        <v>253</v>
      </c>
      <c r="C180" s="4" t="s">
        <v>8</v>
      </c>
      <c r="D180" s="4" t="s">
        <v>117</v>
      </c>
      <c r="E180" s="4" t="s">
        <v>17</v>
      </c>
      <c r="F180" s="3">
        <v>177</v>
      </c>
      <c r="G180" s="4" t="s">
        <v>28</v>
      </c>
      <c r="H180" s="4" t="s">
        <v>14</v>
      </c>
      <c r="I180" s="4"/>
      <c r="J180" s="4" t="s">
        <v>507</v>
      </c>
      <c r="K180" s="4" t="s">
        <v>506</v>
      </c>
      <c r="L180" s="4" t="s">
        <v>251</v>
      </c>
      <c r="M180" s="4" t="s">
        <v>250</v>
      </c>
      <c r="N180" s="3">
        <v>2.9531668280000001</v>
      </c>
      <c r="O180" s="3" t="s">
        <v>252</v>
      </c>
      <c r="P180" s="1"/>
    </row>
    <row r="181" spans="2:16" ht="15.75" hidden="1" thickBot="1">
      <c r="B181" s="4" t="s">
        <v>257</v>
      </c>
      <c r="C181" s="4" t="s">
        <v>8</v>
      </c>
      <c r="D181" s="4" t="s">
        <v>117</v>
      </c>
      <c r="E181" s="4" t="s">
        <v>17</v>
      </c>
      <c r="F181" s="3">
        <v>178</v>
      </c>
      <c r="G181" s="4" t="s">
        <v>28</v>
      </c>
      <c r="H181" s="4" t="s">
        <v>14</v>
      </c>
      <c r="I181" s="4"/>
      <c r="J181" s="4" t="s">
        <v>507</v>
      </c>
      <c r="K181" s="4" t="s">
        <v>506</v>
      </c>
      <c r="L181" s="4" t="s">
        <v>255</v>
      </c>
      <c r="M181" s="4" t="s">
        <v>254</v>
      </c>
      <c r="N181" s="3">
        <v>4.378785079</v>
      </c>
      <c r="O181" s="3" t="s">
        <v>256</v>
      </c>
      <c r="P181" s="1"/>
    </row>
    <row r="182" spans="2:16" ht="15.75" hidden="1" thickBot="1">
      <c r="B182" s="4" t="s">
        <v>469</v>
      </c>
      <c r="C182" s="4" t="s">
        <v>8</v>
      </c>
      <c r="D182" s="4" t="s">
        <v>117</v>
      </c>
      <c r="E182" s="4" t="s">
        <v>17</v>
      </c>
      <c r="F182" s="3">
        <v>179</v>
      </c>
      <c r="G182" s="4" t="s">
        <v>28</v>
      </c>
      <c r="H182" s="4" t="s">
        <v>14</v>
      </c>
      <c r="I182" s="4"/>
      <c r="J182" s="4" t="s">
        <v>507</v>
      </c>
      <c r="K182" s="4" t="s">
        <v>506</v>
      </c>
      <c r="L182" s="4" t="s">
        <v>467</v>
      </c>
      <c r="M182" s="4" t="s">
        <v>466</v>
      </c>
      <c r="N182" s="3">
        <v>8.1093494000000002E-2</v>
      </c>
      <c r="O182" s="3" t="s">
        <v>468</v>
      </c>
      <c r="P182" s="1"/>
    </row>
    <row r="183" spans="2:16" ht="15.75" hidden="1" thickBot="1">
      <c r="B183" s="4" t="s">
        <v>473</v>
      </c>
      <c r="C183" s="4" t="s">
        <v>8</v>
      </c>
      <c r="D183" s="4" t="s">
        <v>117</v>
      </c>
      <c r="E183" s="4" t="s">
        <v>17</v>
      </c>
      <c r="F183" s="3">
        <v>180</v>
      </c>
      <c r="G183" s="4" t="s">
        <v>28</v>
      </c>
      <c r="H183" s="4" t="s">
        <v>14</v>
      </c>
      <c r="I183" s="4"/>
      <c r="J183" s="4" t="s">
        <v>507</v>
      </c>
      <c r="K183" s="4" t="s">
        <v>506</v>
      </c>
      <c r="L183" s="4" t="s">
        <v>471</v>
      </c>
      <c r="M183" s="4" t="s">
        <v>470</v>
      </c>
      <c r="N183" s="3">
        <v>0.15546653199999999</v>
      </c>
      <c r="O183" s="3" t="s">
        <v>472</v>
      </c>
      <c r="P183" s="1"/>
    </row>
    <row r="184" spans="2:16" ht="15.75" hidden="1" thickBot="1">
      <c r="B184" s="4" t="s">
        <v>477</v>
      </c>
      <c r="C184" s="4" t="s">
        <v>8</v>
      </c>
      <c r="D184" s="4" t="s">
        <v>117</v>
      </c>
      <c r="E184" s="4" t="s">
        <v>17</v>
      </c>
      <c r="F184" s="3">
        <v>181</v>
      </c>
      <c r="G184" s="4" t="s">
        <v>28</v>
      </c>
      <c r="H184" s="4" t="s">
        <v>14</v>
      </c>
      <c r="I184" s="4"/>
      <c r="J184" s="4" t="s">
        <v>507</v>
      </c>
      <c r="K184" s="4" t="s">
        <v>506</v>
      </c>
      <c r="L184" s="4" t="s">
        <v>475</v>
      </c>
      <c r="M184" s="4" t="s">
        <v>474</v>
      </c>
      <c r="N184" s="3">
        <v>8.0645463000000001E-2</v>
      </c>
      <c r="O184" s="3" t="s">
        <v>476</v>
      </c>
      <c r="P184" s="1"/>
    </row>
    <row r="185" spans="2:16" ht="15.75" hidden="1" thickBot="1">
      <c r="B185" s="4" t="s">
        <v>481</v>
      </c>
      <c r="C185" s="4" t="s">
        <v>8</v>
      </c>
      <c r="D185" s="4" t="s">
        <v>117</v>
      </c>
      <c r="E185" s="4" t="s">
        <v>17</v>
      </c>
      <c r="F185" s="3">
        <v>182</v>
      </c>
      <c r="G185" s="4" t="s">
        <v>44</v>
      </c>
      <c r="H185" s="4" t="s">
        <v>14</v>
      </c>
      <c r="I185" s="4"/>
      <c r="J185" s="4" t="s">
        <v>507</v>
      </c>
      <c r="K185" s="4" t="s">
        <v>506</v>
      </c>
      <c r="L185" s="4" t="s">
        <v>479</v>
      </c>
      <c r="M185" s="4" t="s">
        <v>478</v>
      </c>
      <c r="N185" s="3">
        <v>1.1451095760000001</v>
      </c>
      <c r="O185" s="3" t="s">
        <v>480</v>
      </c>
      <c r="P185" s="1"/>
    </row>
    <row r="186" spans="2:16" ht="15.75" hidden="1" thickBot="1">
      <c r="B186" s="4" t="s">
        <v>485</v>
      </c>
      <c r="C186" s="4" t="s">
        <v>8</v>
      </c>
      <c r="D186" s="4" t="s">
        <v>117</v>
      </c>
      <c r="E186" s="4" t="s">
        <v>17</v>
      </c>
      <c r="F186" s="3">
        <v>183</v>
      </c>
      <c r="G186" s="4" t="s">
        <v>114</v>
      </c>
      <c r="H186" s="4" t="s">
        <v>14</v>
      </c>
      <c r="I186" s="4"/>
      <c r="J186" s="4" t="s">
        <v>507</v>
      </c>
      <c r="K186" s="4" t="s">
        <v>506</v>
      </c>
      <c r="L186" s="4" t="s">
        <v>483</v>
      </c>
      <c r="M186" s="4" t="s">
        <v>482</v>
      </c>
      <c r="N186" s="3">
        <v>3.1006609119999999</v>
      </c>
      <c r="O186" s="3" t="s">
        <v>484</v>
      </c>
      <c r="P186" s="1"/>
    </row>
    <row r="187" spans="2:16" ht="15.75" hidden="1" thickBot="1">
      <c r="B187" s="4" t="s">
        <v>344</v>
      </c>
      <c r="C187" s="4" t="s">
        <v>8</v>
      </c>
      <c r="D187" s="4" t="s">
        <v>117</v>
      </c>
      <c r="E187" s="4" t="s">
        <v>17</v>
      </c>
      <c r="F187" s="3">
        <v>184</v>
      </c>
      <c r="G187" s="4" t="s">
        <v>340</v>
      </c>
      <c r="H187" s="4" t="s">
        <v>14</v>
      </c>
      <c r="I187" s="4"/>
      <c r="J187" s="4" t="s">
        <v>507</v>
      </c>
      <c r="K187" s="4" t="s">
        <v>506</v>
      </c>
      <c r="L187" s="4" t="s">
        <v>342</v>
      </c>
      <c r="M187" s="4" t="s">
        <v>341</v>
      </c>
      <c r="N187" s="3">
        <v>6.7296144000000002E-2</v>
      </c>
      <c r="O187" s="3" t="s">
        <v>343</v>
      </c>
      <c r="P187" s="1"/>
    </row>
    <row r="188" spans="2:16" ht="15.75" hidden="1" thickBot="1">
      <c r="B188" s="4" t="s">
        <v>261</v>
      </c>
      <c r="C188" s="4" t="s">
        <v>8</v>
      </c>
      <c r="D188" s="4" t="s">
        <v>117</v>
      </c>
      <c r="E188" s="4" t="s">
        <v>17</v>
      </c>
      <c r="F188" s="3">
        <v>185</v>
      </c>
      <c r="G188" s="4" t="s">
        <v>28</v>
      </c>
      <c r="H188" s="4" t="s">
        <v>14</v>
      </c>
      <c r="I188" s="4"/>
      <c r="J188" s="4" t="s">
        <v>507</v>
      </c>
      <c r="K188" s="4" t="s">
        <v>506</v>
      </c>
      <c r="L188" s="4" t="s">
        <v>259</v>
      </c>
      <c r="M188" s="4" t="s">
        <v>258</v>
      </c>
      <c r="N188" s="3">
        <v>3.4320587470000001</v>
      </c>
      <c r="O188" s="3" t="s">
        <v>260</v>
      </c>
      <c r="P188" s="1"/>
    </row>
    <row r="189" spans="2:16" ht="15.75" hidden="1" thickBot="1">
      <c r="B189" s="4" t="s">
        <v>265</v>
      </c>
      <c r="C189" s="4" t="s">
        <v>8</v>
      </c>
      <c r="D189" s="4" t="s">
        <v>117</v>
      </c>
      <c r="E189" s="4" t="s">
        <v>17</v>
      </c>
      <c r="F189" s="3">
        <v>186</v>
      </c>
      <c r="G189" s="4" t="s">
        <v>13</v>
      </c>
      <c r="H189" s="4" t="s">
        <v>14</v>
      </c>
      <c r="I189" s="4"/>
      <c r="J189" s="4" t="s">
        <v>507</v>
      </c>
      <c r="K189" s="4" t="s">
        <v>506</v>
      </c>
      <c r="L189" s="4" t="s">
        <v>263</v>
      </c>
      <c r="M189" s="4" t="s">
        <v>262</v>
      </c>
      <c r="N189" s="3">
        <v>6.2048100399999999</v>
      </c>
      <c r="O189" s="3" t="s">
        <v>264</v>
      </c>
      <c r="P189" s="1"/>
    </row>
    <row r="190" spans="2:16" ht="15.75" hidden="1" thickBot="1">
      <c r="B190" s="4" t="s">
        <v>489</v>
      </c>
      <c r="C190" s="4" t="s">
        <v>8</v>
      </c>
      <c r="D190" s="4" t="s">
        <v>117</v>
      </c>
      <c r="E190" s="4" t="s">
        <v>17</v>
      </c>
      <c r="F190" s="3">
        <v>187</v>
      </c>
      <c r="G190" s="4" t="s">
        <v>44</v>
      </c>
      <c r="H190" s="4" t="s">
        <v>14</v>
      </c>
      <c r="I190" s="4"/>
      <c r="J190" s="4" t="s">
        <v>507</v>
      </c>
      <c r="K190" s="4" t="s">
        <v>506</v>
      </c>
      <c r="L190" s="4" t="s">
        <v>487</v>
      </c>
      <c r="M190" s="4" t="s">
        <v>486</v>
      </c>
      <c r="N190" s="3">
        <v>2.2525580239999998</v>
      </c>
      <c r="O190" s="3" t="s">
        <v>488</v>
      </c>
      <c r="P190" s="1"/>
    </row>
    <row r="191" spans="2:16" ht="15.75" hidden="1" thickBot="1">
      <c r="B191" s="4" t="s">
        <v>493</v>
      </c>
      <c r="C191" s="4" t="s">
        <v>8</v>
      </c>
      <c r="D191" s="4" t="s">
        <v>117</v>
      </c>
      <c r="E191" s="4" t="s">
        <v>17</v>
      </c>
      <c r="F191" s="3">
        <v>188</v>
      </c>
      <c r="G191" s="4" t="s">
        <v>114</v>
      </c>
      <c r="H191" s="4" t="s">
        <v>14</v>
      </c>
      <c r="I191" s="4"/>
      <c r="J191" s="4" t="s">
        <v>507</v>
      </c>
      <c r="K191" s="4" t="s">
        <v>506</v>
      </c>
      <c r="L191" s="4" t="s">
        <v>491</v>
      </c>
      <c r="M191" s="4" t="s">
        <v>490</v>
      </c>
      <c r="N191" s="3">
        <v>3.0309253319999998</v>
      </c>
      <c r="O191" s="3" t="s">
        <v>492</v>
      </c>
      <c r="P191" s="1"/>
    </row>
    <row r="192" spans="2:16" ht="15.75" hidden="1" thickBot="1">
      <c r="B192" s="4" t="s">
        <v>497</v>
      </c>
      <c r="C192" s="4" t="s">
        <v>8</v>
      </c>
      <c r="D192" s="4" t="s">
        <v>117</v>
      </c>
      <c r="E192" s="4" t="s">
        <v>17</v>
      </c>
      <c r="F192" s="3">
        <v>189</v>
      </c>
      <c r="G192" s="4" t="s">
        <v>114</v>
      </c>
      <c r="H192" s="4" t="s">
        <v>14</v>
      </c>
      <c r="I192" s="4"/>
      <c r="J192" s="4" t="s">
        <v>507</v>
      </c>
      <c r="K192" s="4" t="s">
        <v>506</v>
      </c>
      <c r="L192" s="4" t="s">
        <v>495</v>
      </c>
      <c r="M192" s="4" t="s">
        <v>494</v>
      </c>
      <c r="N192" s="3">
        <v>2.1814625059999999</v>
      </c>
      <c r="O192" s="3" t="s">
        <v>496</v>
      </c>
      <c r="P192" s="1"/>
    </row>
    <row r="193" spans="2:16" ht="15.75" hidden="1" thickBot="1">
      <c r="B193" s="4" t="s">
        <v>348</v>
      </c>
      <c r="C193" s="4" t="s">
        <v>8</v>
      </c>
      <c r="D193" s="4" t="s">
        <v>117</v>
      </c>
      <c r="E193" s="4" t="s">
        <v>17</v>
      </c>
      <c r="F193" s="3">
        <v>190</v>
      </c>
      <c r="G193" s="4" t="s">
        <v>13</v>
      </c>
      <c r="H193" s="4" t="s">
        <v>14</v>
      </c>
      <c r="I193" s="4"/>
      <c r="J193" s="4" t="s">
        <v>507</v>
      </c>
      <c r="K193" s="4" t="s">
        <v>506</v>
      </c>
      <c r="L193" s="4" t="s">
        <v>346</v>
      </c>
      <c r="M193" s="4" t="s">
        <v>345</v>
      </c>
      <c r="N193" s="3">
        <v>4.6572933599999997</v>
      </c>
      <c r="O193" s="3" t="s">
        <v>347</v>
      </c>
      <c r="P193" s="1"/>
    </row>
    <row r="194" spans="2:16" ht="15.75" hidden="1" thickBot="1">
      <c r="B194" s="4" t="s">
        <v>352</v>
      </c>
      <c r="C194" s="4" t="s">
        <v>8</v>
      </c>
      <c r="D194" s="4" t="s">
        <v>117</v>
      </c>
      <c r="E194" s="4" t="s">
        <v>17</v>
      </c>
      <c r="F194" s="3">
        <v>191</v>
      </c>
      <c r="G194" s="4" t="s">
        <v>28</v>
      </c>
      <c r="H194" s="4" t="s">
        <v>14</v>
      </c>
      <c r="I194" s="4"/>
      <c r="J194" s="4" t="s">
        <v>507</v>
      </c>
      <c r="K194" s="4" t="s">
        <v>506</v>
      </c>
      <c r="L194" s="4" t="s">
        <v>350</v>
      </c>
      <c r="M194" s="4" t="s">
        <v>349</v>
      </c>
      <c r="N194" s="3">
        <v>30.683619362000002</v>
      </c>
      <c r="O194" s="3" t="s">
        <v>351</v>
      </c>
      <c r="P194" s="1"/>
    </row>
    <row r="195" spans="2:16" ht="15.75" hidden="1" thickBot="1">
      <c r="B195" s="4" t="s">
        <v>356</v>
      </c>
      <c r="C195" s="4" t="s">
        <v>8</v>
      </c>
      <c r="D195" s="4" t="s">
        <v>117</v>
      </c>
      <c r="E195" s="4" t="s">
        <v>17</v>
      </c>
      <c r="F195" s="3">
        <v>192</v>
      </c>
      <c r="G195" s="4" t="s">
        <v>28</v>
      </c>
      <c r="H195" s="4" t="s">
        <v>14</v>
      </c>
      <c r="I195" s="4"/>
      <c r="J195" s="4" t="s">
        <v>507</v>
      </c>
      <c r="K195" s="4" t="s">
        <v>506</v>
      </c>
      <c r="L195" s="4" t="s">
        <v>354</v>
      </c>
      <c r="M195" s="4" t="s">
        <v>353</v>
      </c>
      <c r="N195" s="3">
        <v>8.5804269850000008</v>
      </c>
      <c r="O195" s="3" t="s">
        <v>355</v>
      </c>
      <c r="P195" s="1"/>
    </row>
    <row r="196" spans="2:16" ht="15.75" hidden="1" thickBot="1">
      <c r="B196" s="4" t="s">
        <v>360</v>
      </c>
      <c r="C196" s="4" t="s">
        <v>8</v>
      </c>
      <c r="D196" s="4" t="s">
        <v>117</v>
      </c>
      <c r="E196" s="4" t="s">
        <v>17</v>
      </c>
      <c r="F196" s="3">
        <v>193</v>
      </c>
      <c r="G196" s="4" t="s">
        <v>13</v>
      </c>
      <c r="H196" s="4" t="s">
        <v>14</v>
      </c>
      <c r="I196" s="4"/>
      <c r="J196" s="4" t="s">
        <v>507</v>
      </c>
      <c r="K196" s="4" t="s">
        <v>506</v>
      </c>
      <c r="L196" s="4" t="s">
        <v>358</v>
      </c>
      <c r="M196" s="4" t="s">
        <v>357</v>
      </c>
      <c r="N196" s="3">
        <v>19.145265925</v>
      </c>
      <c r="O196" s="3" t="s">
        <v>359</v>
      </c>
      <c r="P196" s="1"/>
    </row>
    <row r="197" spans="2:16" ht="15.75" hidden="1" thickBot="1">
      <c r="B197" s="4" t="s">
        <v>364</v>
      </c>
      <c r="C197" s="4" t="s">
        <v>8</v>
      </c>
      <c r="D197" s="4" t="s">
        <v>117</v>
      </c>
      <c r="E197" s="4" t="s">
        <v>17</v>
      </c>
      <c r="F197" s="3">
        <v>194</v>
      </c>
      <c r="G197" s="4" t="s">
        <v>28</v>
      </c>
      <c r="H197" s="4" t="s">
        <v>14</v>
      </c>
      <c r="I197" s="4"/>
      <c r="J197" s="4" t="s">
        <v>507</v>
      </c>
      <c r="K197" s="4" t="s">
        <v>506</v>
      </c>
      <c r="L197" s="4" t="s">
        <v>362</v>
      </c>
      <c r="M197" s="4" t="s">
        <v>361</v>
      </c>
      <c r="N197" s="3">
        <v>9.4931941789999996</v>
      </c>
      <c r="O197" s="3" t="s">
        <v>363</v>
      </c>
      <c r="P197" s="1"/>
    </row>
    <row r="198" spans="2:16" ht="15.75" hidden="1" thickBot="1">
      <c r="B198" s="4" t="s">
        <v>368</v>
      </c>
      <c r="C198" s="4" t="s">
        <v>8</v>
      </c>
      <c r="D198" s="4" t="s">
        <v>117</v>
      </c>
      <c r="E198" s="4" t="s">
        <v>17</v>
      </c>
      <c r="F198" s="3">
        <v>195</v>
      </c>
      <c r="G198" s="4" t="s">
        <v>13</v>
      </c>
      <c r="H198" s="4" t="s">
        <v>14</v>
      </c>
      <c r="I198" s="4"/>
      <c r="J198" s="4" t="s">
        <v>507</v>
      </c>
      <c r="K198" s="4" t="s">
        <v>506</v>
      </c>
      <c r="L198" s="4" t="s">
        <v>366</v>
      </c>
      <c r="M198" s="4" t="s">
        <v>365</v>
      </c>
      <c r="N198" s="3">
        <v>4.0425514050000002</v>
      </c>
      <c r="O198" s="3" t="s">
        <v>367</v>
      </c>
      <c r="P198" s="1"/>
    </row>
    <row r="199" spans="2:16" ht="15.75" hidden="1" thickBot="1">
      <c r="B199" s="4" t="s">
        <v>372</v>
      </c>
      <c r="C199" s="4" t="s">
        <v>8</v>
      </c>
      <c r="D199" s="4" t="s">
        <v>117</v>
      </c>
      <c r="E199" s="4" t="s">
        <v>17</v>
      </c>
      <c r="F199" s="3">
        <v>196</v>
      </c>
      <c r="G199" s="4" t="s">
        <v>13</v>
      </c>
      <c r="H199" s="4" t="s">
        <v>14</v>
      </c>
      <c r="I199" s="4"/>
      <c r="J199" s="4" t="s">
        <v>507</v>
      </c>
      <c r="K199" s="4" t="s">
        <v>506</v>
      </c>
      <c r="L199" s="4" t="s">
        <v>370</v>
      </c>
      <c r="M199" s="4" t="s">
        <v>369</v>
      </c>
      <c r="N199" s="3">
        <v>8.2489647690000005</v>
      </c>
      <c r="O199" s="3" t="s">
        <v>371</v>
      </c>
      <c r="P199" s="1"/>
    </row>
    <row r="200" spans="2:16" ht="15.75" hidden="1" thickBot="1">
      <c r="B200" s="4" t="s">
        <v>273</v>
      </c>
      <c r="C200" s="4" t="s">
        <v>8</v>
      </c>
      <c r="D200" s="4" t="s">
        <v>117</v>
      </c>
      <c r="E200" s="4" t="s">
        <v>17</v>
      </c>
      <c r="F200" s="3">
        <v>197</v>
      </c>
      <c r="G200" s="4" t="s">
        <v>28</v>
      </c>
      <c r="H200" s="4" t="s">
        <v>14</v>
      </c>
      <c r="I200" s="4"/>
      <c r="J200" s="4" t="s">
        <v>507</v>
      </c>
      <c r="K200" s="4" t="s">
        <v>506</v>
      </c>
      <c r="L200" s="4" t="s">
        <v>271</v>
      </c>
      <c r="M200" s="4" t="s">
        <v>270</v>
      </c>
      <c r="N200" s="3">
        <v>3.280102657</v>
      </c>
      <c r="O200" s="3" t="s">
        <v>272</v>
      </c>
      <c r="P200" s="1"/>
    </row>
    <row r="201" spans="2:16" ht="15.75" hidden="1" thickBot="1">
      <c r="B201" s="4" t="s">
        <v>376</v>
      </c>
      <c r="C201" s="4" t="s">
        <v>8</v>
      </c>
      <c r="D201" s="4" t="s">
        <v>117</v>
      </c>
      <c r="E201" s="4" t="s">
        <v>17</v>
      </c>
      <c r="F201" s="3">
        <v>198</v>
      </c>
      <c r="G201" s="4" t="s">
        <v>13</v>
      </c>
      <c r="H201" s="4" t="s">
        <v>14</v>
      </c>
      <c r="I201" s="4"/>
      <c r="J201" s="4" t="s">
        <v>507</v>
      </c>
      <c r="K201" s="4" t="s">
        <v>506</v>
      </c>
      <c r="L201" s="4" t="s">
        <v>374</v>
      </c>
      <c r="M201" s="4" t="s">
        <v>373</v>
      </c>
      <c r="N201" s="3">
        <v>1.779844107</v>
      </c>
      <c r="O201" s="3" t="s">
        <v>375</v>
      </c>
      <c r="P201" s="1"/>
    </row>
    <row r="202" spans="2:16" ht="15.75" hidden="1" thickBot="1">
      <c r="B202" s="4" t="s">
        <v>380</v>
      </c>
      <c r="C202" s="4" t="s">
        <v>8</v>
      </c>
      <c r="D202" s="4" t="s">
        <v>117</v>
      </c>
      <c r="E202" s="4" t="s">
        <v>17</v>
      </c>
      <c r="F202" s="3">
        <v>199</v>
      </c>
      <c r="G202" s="4" t="s">
        <v>67</v>
      </c>
      <c r="H202" s="4" t="s">
        <v>14</v>
      </c>
      <c r="I202" s="4"/>
      <c r="J202" s="4" t="s">
        <v>507</v>
      </c>
      <c r="K202" s="4" t="s">
        <v>506</v>
      </c>
      <c r="L202" s="4" t="s">
        <v>378</v>
      </c>
      <c r="M202" s="4" t="s">
        <v>377</v>
      </c>
      <c r="N202" s="3">
        <v>1.044645957</v>
      </c>
      <c r="O202" s="3" t="s">
        <v>379</v>
      </c>
      <c r="P202" s="1"/>
    </row>
    <row r="203" spans="2:16" ht="15.75" hidden="1" thickBot="1">
      <c r="B203" s="4" t="s">
        <v>384</v>
      </c>
      <c r="C203" s="4" t="s">
        <v>8</v>
      </c>
      <c r="D203" s="4" t="s">
        <v>117</v>
      </c>
      <c r="E203" s="4" t="s">
        <v>17</v>
      </c>
      <c r="F203" s="3">
        <v>200</v>
      </c>
      <c r="G203" s="4" t="s">
        <v>67</v>
      </c>
      <c r="H203" s="4" t="s">
        <v>14</v>
      </c>
      <c r="I203" s="4"/>
      <c r="J203" s="4" t="s">
        <v>507</v>
      </c>
      <c r="K203" s="4" t="s">
        <v>506</v>
      </c>
      <c r="L203" s="4" t="s">
        <v>382</v>
      </c>
      <c r="M203" s="4" t="s">
        <v>381</v>
      </c>
      <c r="N203" s="3">
        <v>1.057106943</v>
      </c>
      <c r="O203" s="3" t="s">
        <v>383</v>
      </c>
      <c r="P203" s="1"/>
    </row>
    <row r="204" spans="2:16" ht="15.75" hidden="1" thickBot="1">
      <c r="B204" s="4" t="s">
        <v>388</v>
      </c>
      <c r="C204" s="4" t="s">
        <v>8</v>
      </c>
      <c r="D204" s="4" t="s">
        <v>117</v>
      </c>
      <c r="E204" s="4" t="s">
        <v>17</v>
      </c>
      <c r="F204" s="3">
        <v>201</v>
      </c>
      <c r="G204" s="4" t="s">
        <v>44</v>
      </c>
      <c r="H204" s="4" t="s">
        <v>14</v>
      </c>
      <c r="I204" s="4"/>
      <c r="J204" s="4" t="s">
        <v>507</v>
      </c>
      <c r="K204" s="4" t="s">
        <v>506</v>
      </c>
      <c r="L204" s="4" t="s">
        <v>386</v>
      </c>
      <c r="M204" s="4" t="s">
        <v>385</v>
      </c>
      <c r="N204" s="3">
        <v>1.368631583</v>
      </c>
      <c r="O204" s="3" t="s">
        <v>387</v>
      </c>
      <c r="P204" s="1"/>
    </row>
    <row r="205" spans="2:16" ht="15.75" hidden="1" thickBot="1">
      <c r="B205" s="4" t="s">
        <v>392</v>
      </c>
      <c r="C205" s="4" t="s">
        <v>8</v>
      </c>
      <c r="D205" s="4" t="s">
        <v>117</v>
      </c>
      <c r="E205" s="4" t="s">
        <v>17</v>
      </c>
      <c r="F205" s="3">
        <v>202</v>
      </c>
      <c r="G205" s="4" t="s">
        <v>28</v>
      </c>
      <c r="H205" s="4" t="s">
        <v>14</v>
      </c>
      <c r="I205" s="4"/>
      <c r="J205" s="4" t="s">
        <v>507</v>
      </c>
      <c r="K205" s="4" t="s">
        <v>506</v>
      </c>
      <c r="L205" s="4" t="s">
        <v>390</v>
      </c>
      <c r="M205" s="4" t="s">
        <v>389</v>
      </c>
      <c r="N205" s="3">
        <v>0.65482479299999996</v>
      </c>
      <c r="O205" s="3" t="s">
        <v>391</v>
      </c>
      <c r="P205" s="1"/>
    </row>
    <row r="206" spans="2:16" ht="15.75" hidden="1" thickBot="1">
      <c r="B206" s="4" t="s">
        <v>396</v>
      </c>
      <c r="C206" s="4" t="s">
        <v>8</v>
      </c>
      <c r="D206" s="4" t="s">
        <v>117</v>
      </c>
      <c r="E206" s="4" t="s">
        <v>17</v>
      </c>
      <c r="F206" s="3">
        <v>203</v>
      </c>
      <c r="G206" s="4" t="s">
        <v>173</v>
      </c>
      <c r="H206" s="4" t="s">
        <v>14</v>
      </c>
      <c r="I206" s="4"/>
      <c r="J206" s="4" t="s">
        <v>507</v>
      </c>
      <c r="K206" s="4" t="s">
        <v>506</v>
      </c>
      <c r="L206" s="4" t="s">
        <v>394</v>
      </c>
      <c r="M206" s="4" t="s">
        <v>393</v>
      </c>
      <c r="N206" s="3">
        <v>1.102797223</v>
      </c>
      <c r="O206" s="3" t="s">
        <v>395</v>
      </c>
      <c r="P206" s="1"/>
    </row>
    <row r="207" spans="2:16" ht="15.75" hidden="1" thickBot="1">
      <c r="B207" s="4" t="s">
        <v>400</v>
      </c>
      <c r="C207" s="4" t="s">
        <v>8</v>
      </c>
      <c r="D207" s="4" t="s">
        <v>117</v>
      </c>
      <c r="E207" s="4" t="s">
        <v>17</v>
      </c>
      <c r="F207" s="3">
        <v>204</v>
      </c>
      <c r="G207" s="4" t="s">
        <v>28</v>
      </c>
      <c r="H207" s="4" t="s">
        <v>14</v>
      </c>
      <c r="I207" s="4"/>
      <c r="J207" s="4" t="s">
        <v>507</v>
      </c>
      <c r="K207" s="4" t="s">
        <v>506</v>
      </c>
      <c r="L207" s="4" t="s">
        <v>398</v>
      </c>
      <c r="M207" s="4" t="s">
        <v>397</v>
      </c>
      <c r="N207" s="3">
        <v>1.5918909080000001</v>
      </c>
      <c r="O207" s="3" t="s">
        <v>399</v>
      </c>
      <c r="P207" s="1"/>
    </row>
    <row r="208" spans="2:16" ht="15.75" hidden="1" thickBot="1">
      <c r="B208" s="4" t="s">
        <v>277</v>
      </c>
      <c r="C208" s="4" t="s">
        <v>8</v>
      </c>
      <c r="D208" s="4" t="s">
        <v>117</v>
      </c>
      <c r="E208" s="4" t="s">
        <v>17</v>
      </c>
      <c r="F208" s="3">
        <v>205</v>
      </c>
      <c r="G208" s="4" t="s">
        <v>28</v>
      </c>
      <c r="H208" s="4" t="s">
        <v>14</v>
      </c>
      <c r="I208" s="4"/>
      <c r="J208" s="4" t="s">
        <v>507</v>
      </c>
      <c r="K208" s="4" t="s">
        <v>506</v>
      </c>
      <c r="L208" s="4" t="s">
        <v>275</v>
      </c>
      <c r="M208" s="4" t="s">
        <v>274</v>
      </c>
      <c r="N208" s="3">
        <v>9.0485894160000004</v>
      </c>
      <c r="O208" s="3" t="s">
        <v>276</v>
      </c>
      <c r="P208" s="1"/>
    </row>
    <row r="209" spans="2:16" ht="15.75" hidden="1" thickBot="1">
      <c r="B209" s="4" t="s">
        <v>281</v>
      </c>
      <c r="C209" s="4" t="s">
        <v>8</v>
      </c>
      <c r="D209" s="4" t="s">
        <v>117</v>
      </c>
      <c r="E209" s="4" t="s">
        <v>17</v>
      </c>
      <c r="F209" s="3">
        <v>206</v>
      </c>
      <c r="G209" s="4" t="s">
        <v>114</v>
      </c>
      <c r="H209" s="4" t="s">
        <v>14</v>
      </c>
      <c r="I209" s="4"/>
      <c r="J209" s="4" t="s">
        <v>507</v>
      </c>
      <c r="K209" s="4" t="s">
        <v>506</v>
      </c>
      <c r="L209" s="4" t="s">
        <v>279</v>
      </c>
      <c r="M209" s="4" t="s">
        <v>278</v>
      </c>
      <c r="N209" s="3">
        <v>5.5193004590000001</v>
      </c>
      <c r="O209" s="3" t="s">
        <v>280</v>
      </c>
      <c r="P209" s="1"/>
    </row>
    <row r="210" spans="2:16" ht="15.75" hidden="1" thickBot="1">
      <c r="B210" s="4" t="s">
        <v>404</v>
      </c>
      <c r="C210" s="4" t="s">
        <v>8</v>
      </c>
      <c r="D210" s="4" t="s">
        <v>117</v>
      </c>
      <c r="E210" s="4" t="s">
        <v>17</v>
      </c>
      <c r="F210" s="3">
        <v>207</v>
      </c>
      <c r="G210" s="4" t="s">
        <v>13</v>
      </c>
      <c r="H210" s="4" t="s">
        <v>14</v>
      </c>
      <c r="I210" s="4"/>
      <c r="J210" s="4" t="s">
        <v>507</v>
      </c>
      <c r="K210" s="4" t="s">
        <v>506</v>
      </c>
      <c r="L210" s="4" t="s">
        <v>402</v>
      </c>
      <c r="M210" s="4" t="s">
        <v>401</v>
      </c>
      <c r="N210" s="3">
        <v>5.8026656179999998</v>
      </c>
      <c r="O210" s="3" t="s">
        <v>403</v>
      </c>
      <c r="P210" s="1"/>
    </row>
    <row r="211" spans="2:16" ht="15.75" hidden="1" thickBot="1">
      <c r="B211" s="4" t="s">
        <v>501</v>
      </c>
      <c r="C211" s="4" t="s">
        <v>8</v>
      </c>
      <c r="D211" s="4" t="s">
        <v>117</v>
      </c>
      <c r="E211" s="4" t="s">
        <v>17</v>
      </c>
      <c r="F211" s="3">
        <v>208</v>
      </c>
      <c r="G211" s="4" t="s">
        <v>28</v>
      </c>
      <c r="H211" s="4" t="s">
        <v>14</v>
      </c>
      <c r="I211" s="4"/>
      <c r="J211" s="4" t="s">
        <v>507</v>
      </c>
      <c r="K211" s="4" t="s">
        <v>506</v>
      </c>
      <c r="L211" s="4" t="s">
        <v>499</v>
      </c>
      <c r="M211" s="4" t="s">
        <v>498</v>
      </c>
      <c r="N211" s="3">
        <v>7.4105196429999998</v>
      </c>
      <c r="O211" s="3" t="s">
        <v>500</v>
      </c>
      <c r="P211" s="1"/>
    </row>
    <row r="212" spans="2:16" ht="15.75" hidden="1" thickBot="1">
      <c r="B212" s="4" t="s">
        <v>66</v>
      </c>
      <c r="C212" s="4" t="s">
        <v>8</v>
      </c>
      <c r="D212" s="4" t="s">
        <v>117</v>
      </c>
      <c r="E212" s="4" t="s">
        <v>17</v>
      </c>
      <c r="F212" s="3">
        <v>209</v>
      </c>
      <c r="G212" s="4" t="s">
        <v>13</v>
      </c>
      <c r="H212" s="4" t="s">
        <v>14</v>
      </c>
      <c r="I212" s="4"/>
      <c r="J212" s="4" t="s">
        <v>507</v>
      </c>
      <c r="K212" s="4" t="s">
        <v>506</v>
      </c>
      <c r="L212" s="4" t="s">
        <v>64</v>
      </c>
      <c r="M212" s="4" t="s">
        <v>63</v>
      </c>
      <c r="N212" s="3">
        <v>7.7159098420000003</v>
      </c>
      <c r="O212" s="3" t="s">
        <v>65</v>
      </c>
      <c r="P212" s="1"/>
    </row>
    <row r="213" spans="2:16" ht="15.75" hidden="1" thickBot="1">
      <c r="B213" s="4" t="s">
        <v>71</v>
      </c>
      <c r="C213" s="4" t="s">
        <v>8</v>
      </c>
      <c r="D213" s="4" t="s">
        <v>117</v>
      </c>
      <c r="E213" s="4" t="s">
        <v>17</v>
      </c>
      <c r="F213" s="3">
        <v>210</v>
      </c>
      <c r="G213" s="4" t="s">
        <v>67</v>
      </c>
      <c r="H213" s="4" t="s">
        <v>14</v>
      </c>
      <c r="I213" s="4"/>
      <c r="J213" s="4" t="s">
        <v>507</v>
      </c>
      <c r="K213" s="4" t="s">
        <v>506</v>
      </c>
      <c r="L213" s="4" t="s">
        <v>69</v>
      </c>
      <c r="M213" s="4" t="s">
        <v>68</v>
      </c>
      <c r="N213" s="3">
        <v>3.0316708619999999</v>
      </c>
      <c r="O213" s="3" t="s">
        <v>70</v>
      </c>
      <c r="P213" s="1"/>
    </row>
    <row r="214" spans="2:16" ht="15.75" hidden="1" thickBot="1">
      <c r="B214" s="4" t="s">
        <v>408</v>
      </c>
      <c r="C214" s="4" t="s">
        <v>8</v>
      </c>
      <c r="D214" s="4" t="s">
        <v>117</v>
      </c>
      <c r="E214" s="4" t="s">
        <v>17</v>
      </c>
      <c r="F214" s="3">
        <v>211</v>
      </c>
      <c r="G214" s="4" t="s">
        <v>67</v>
      </c>
      <c r="H214" s="4" t="s">
        <v>14</v>
      </c>
      <c r="I214" s="4"/>
      <c r="J214" s="4" t="s">
        <v>507</v>
      </c>
      <c r="K214" s="4" t="s">
        <v>506</v>
      </c>
      <c r="L214" s="4" t="s">
        <v>406</v>
      </c>
      <c r="M214" s="4" t="s">
        <v>405</v>
      </c>
      <c r="N214" s="3">
        <v>2.5763087690000002</v>
      </c>
      <c r="O214" s="3" t="s">
        <v>407</v>
      </c>
      <c r="P214" s="1"/>
    </row>
    <row r="215" spans="2:16" ht="15.75" hidden="1" thickBot="1">
      <c r="B215" s="4" t="s">
        <v>412</v>
      </c>
      <c r="C215" s="4" t="s">
        <v>8</v>
      </c>
      <c r="D215" s="4" t="s">
        <v>117</v>
      </c>
      <c r="E215" s="4" t="s">
        <v>17</v>
      </c>
      <c r="F215" s="3">
        <v>212</v>
      </c>
      <c r="G215" s="4" t="s">
        <v>28</v>
      </c>
      <c r="H215" s="4" t="s">
        <v>14</v>
      </c>
      <c r="I215" s="4"/>
      <c r="J215" s="4" t="s">
        <v>507</v>
      </c>
      <c r="K215" s="4" t="s">
        <v>506</v>
      </c>
      <c r="L215" s="4" t="s">
        <v>410</v>
      </c>
      <c r="M215" s="4" t="s">
        <v>409</v>
      </c>
      <c r="N215" s="3">
        <v>4.785018462</v>
      </c>
      <c r="O215" s="3" t="s">
        <v>411</v>
      </c>
      <c r="P215" s="1"/>
    </row>
    <row r="216" spans="2:16" ht="15.75" hidden="1" thickBot="1">
      <c r="B216" s="4" t="s">
        <v>416</v>
      </c>
      <c r="C216" s="4" t="s">
        <v>8</v>
      </c>
      <c r="D216" s="4" t="s">
        <v>117</v>
      </c>
      <c r="E216" s="4" t="s">
        <v>17</v>
      </c>
      <c r="F216" s="3">
        <v>213</v>
      </c>
      <c r="G216" s="4" t="s">
        <v>67</v>
      </c>
      <c r="H216" s="4" t="s">
        <v>14</v>
      </c>
      <c r="I216" s="4"/>
      <c r="J216" s="4" t="s">
        <v>507</v>
      </c>
      <c r="K216" s="4" t="s">
        <v>506</v>
      </c>
      <c r="L216" s="4" t="s">
        <v>414</v>
      </c>
      <c r="M216" s="4" t="s">
        <v>413</v>
      </c>
      <c r="N216" s="3">
        <v>3.4124409010000001</v>
      </c>
      <c r="O216" s="3" t="s">
        <v>415</v>
      </c>
      <c r="P216" s="1"/>
    </row>
    <row r="217" spans="2:16" ht="15.75" hidden="1" thickBot="1">
      <c r="B217" s="4" t="s">
        <v>420</v>
      </c>
      <c r="C217" s="4" t="s">
        <v>8</v>
      </c>
      <c r="D217" s="4" t="s">
        <v>117</v>
      </c>
      <c r="E217" s="4" t="s">
        <v>17</v>
      </c>
      <c r="F217" s="3">
        <v>214</v>
      </c>
      <c r="G217" s="4" t="s">
        <v>28</v>
      </c>
      <c r="H217" s="4" t="s">
        <v>14</v>
      </c>
      <c r="I217" s="4"/>
      <c r="J217" s="4" t="s">
        <v>507</v>
      </c>
      <c r="K217" s="4" t="s">
        <v>506</v>
      </c>
      <c r="L217" s="4" t="s">
        <v>418</v>
      </c>
      <c r="M217" s="4" t="s">
        <v>417</v>
      </c>
      <c r="N217" s="3">
        <v>2.1974948059999999</v>
      </c>
      <c r="O217" s="3" t="s">
        <v>419</v>
      </c>
      <c r="P217" s="1"/>
    </row>
    <row r="218" spans="2:16" ht="15.75" hidden="1" thickBot="1">
      <c r="B218" s="4" t="s">
        <v>424</v>
      </c>
      <c r="C218" s="4" t="s">
        <v>8</v>
      </c>
      <c r="D218" s="4" t="s">
        <v>117</v>
      </c>
      <c r="E218" s="4" t="s">
        <v>17</v>
      </c>
      <c r="F218" s="3">
        <v>215</v>
      </c>
      <c r="G218" s="4" t="s">
        <v>28</v>
      </c>
      <c r="H218" s="4" t="s">
        <v>14</v>
      </c>
      <c r="I218" s="4"/>
      <c r="J218" s="4" t="s">
        <v>507</v>
      </c>
      <c r="K218" s="4" t="s">
        <v>506</v>
      </c>
      <c r="L218" s="4" t="s">
        <v>422</v>
      </c>
      <c r="M218" s="4" t="s">
        <v>421</v>
      </c>
      <c r="N218" s="3">
        <v>0.75451267700000002</v>
      </c>
      <c r="O218" s="3" t="s">
        <v>423</v>
      </c>
      <c r="P218" s="1"/>
    </row>
    <row r="219" spans="2:16" ht="15.75" hidden="1" thickBot="1">
      <c r="B219" s="4" t="s">
        <v>428</v>
      </c>
      <c r="C219" s="4" t="s">
        <v>8</v>
      </c>
      <c r="D219" s="4" t="s">
        <v>117</v>
      </c>
      <c r="E219" s="4" t="s">
        <v>17</v>
      </c>
      <c r="F219" s="3">
        <v>216</v>
      </c>
      <c r="G219" s="4" t="s">
        <v>340</v>
      </c>
      <c r="H219" s="4" t="s">
        <v>14</v>
      </c>
      <c r="I219" s="4"/>
      <c r="J219" s="4" t="s">
        <v>507</v>
      </c>
      <c r="K219" s="4" t="s">
        <v>506</v>
      </c>
      <c r="L219" s="4" t="s">
        <v>426</v>
      </c>
      <c r="M219" s="4" t="s">
        <v>425</v>
      </c>
      <c r="N219" s="3">
        <v>0.97112614200000003</v>
      </c>
      <c r="O219" s="3" t="s">
        <v>427</v>
      </c>
      <c r="P219" s="1"/>
    </row>
    <row r="220" spans="2:16" ht="15.75" hidden="1" thickBot="1">
      <c r="B220" s="4" t="s">
        <v>432</v>
      </c>
      <c r="C220" s="4" t="s">
        <v>8</v>
      </c>
      <c r="D220" s="4" t="s">
        <v>117</v>
      </c>
      <c r="E220" s="4" t="s">
        <v>17</v>
      </c>
      <c r="F220" s="3">
        <v>217</v>
      </c>
      <c r="G220" s="4" t="s">
        <v>340</v>
      </c>
      <c r="H220" s="4" t="s">
        <v>14</v>
      </c>
      <c r="I220" s="4"/>
      <c r="J220" s="4" t="s">
        <v>507</v>
      </c>
      <c r="K220" s="4" t="s">
        <v>506</v>
      </c>
      <c r="L220" s="4" t="s">
        <v>430</v>
      </c>
      <c r="M220" s="4" t="s">
        <v>429</v>
      </c>
      <c r="N220" s="3">
        <v>0.94246587699999995</v>
      </c>
      <c r="O220" s="3" t="s">
        <v>431</v>
      </c>
      <c r="P220" s="1"/>
    </row>
    <row r="221" spans="2:16" ht="15.75" hidden="1" thickBot="1">
      <c r="B221" s="4" t="s">
        <v>75</v>
      </c>
      <c r="C221" s="4" t="s">
        <v>8</v>
      </c>
      <c r="D221" s="4" t="s">
        <v>117</v>
      </c>
      <c r="E221" s="4" t="s">
        <v>17</v>
      </c>
      <c r="F221" s="3">
        <v>218</v>
      </c>
      <c r="G221" s="4" t="s">
        <v>28</v>
      </c>
      <c r="H221" s="4" t="s">
        <v>14</v>
      </c>
      <c r="I221" s="4"/>
      <c r="J221" s="4" t="s">
        <v>507</v>
      </c>
      <c r="K221" s="4" t="s">
        <v>506</v>
      </c>
      <c r="L221" s="4" t="s">
        <v>73</v>
      </c>
      <c r="M221" s="4" t="s">
        <v>72</v>
      </c>
      <c r="N221" s="3">
        <v>13.048735561999999</v>
      </c>
      <c r="O221" s="3" t="s">
        <v>74</v>
      </c>
      <c r="P221" s="1"/>
    </row>
    <row r="222" spans="2:16" ht="15.75" hidden="1" thickBot="1">
      <c r="B222" s="4" t="s">
        <v>436</v>
      </c>
      <c r="C222" s="4" t="s">
        <v>8</v>
      </c>
      <c r="D222" s="4" t="s">
        <v>117</v>
      </c>
      <c r="E222" s="4" t="s">
        <v>17</v>
      </c>
      <c r="F222" s="3">
        <v>219</v>
      </c>
      <c r="G222" s="4" t="s">
        <v>340</v>
      </c>
      <c r="H222" s="4" t="s">
        <v>14</v>
      </c>
      <c r="I222" s="4"/>
      <c r="J222" s="4" t="s">
        <v>507</v>
      </c>
      <c r="K222" s="4" t="s">
        <v>506</v>
      </c>
      <c r="L222" s="4" t="s">
        <v>434</v>
      </c>
      <c r="M222" s="4" t="s">
        <v>433</v>
      </c>
      <c r="N222" s="3">
        <v>1.7702906839999999</v>
      </c>
      <c r="O222" s="3" t="s">
        <v>435</v>
      </c>
      <c r="P222" s="1"/>
    </row>
    <row r="223" spans="2:16" ht="15.75" hidden="1" thickBot="1">
      <c r="B223" s="4" t="s">
        <v>440</v>
      </c>
      <c r="C223" s="4" t="s">
        <v>8</v>
      </c>
      <c r="D223" s="4" t="s">
        <v>117</v>
      </c>
      <c r="E223" s="4" t="s">
        <v>17</v>
      </c>
      <c r="F223" s="3">
        <v>220</v>
      </c>
      <c r="G223" s="4" t="s">
        <v>340</v>
      </c>
      <c r="H223" s="4" t="s">
        <v>14</v>
      </c>
      <c r="I223" s="4"/>
      <c r="J223" s="4" t="s">
        <v>507</v>
      </c>
      <c r="K223" s="4" t="s">
        <v>506</v>
      </c>
      <c r="L223" s="4" t="s">
        <v>438</v>
      </c>
      <c r="M223" s="4" t="s">
        <v>437</v>
      </c>
      <c r="N223" s="3">
        <v>2.2554383900000001</v>
      </c>
      <c r="O223" s="3" t="s">
        <v>439</v>
      </c>
      <c r="P223" s="1"/>
    </row>
    <row r="224" spans="2:16" ht="15.75" hidden="1" thickBot="1">
      <c r="B224" s="4" t="s">
        <v>79</v>
      </c>
      <c r="C224" s="4" t="s">
        <v>8</v>
      </c>
      <c r="D224" s="4" t="s">
        <v>117</v>
      </c>
      <c r="E224" s="4" t="s">
        <v>17</v>
      </c>
      <c r="F224" s="3">
        <v>221</v>
      </c>
      <c r="G224" s="4" t="s">
        <v>28</v>
      </c>
      <c r="H224" s="4" t="s">
        <v>14</v>
      </c>
      <c r="I224" s="4"/>
      <c r="J224" s="4" t="s">
        <v>507</v>
      </c>
      <c r="K224" s="4" t="s">
        <v>506</v>
      </c>
      <c r="L224" s="4" t="s">
        <v>77</v>
      </c>
      <c r="M224" s="4" t="s">
        <v>76</v>
      </c>
      <c r="N224" s="3">
        <v>12.531291473</v>
      </c>
      <c r="O224" s="3" t="s">
        <v>78</v>
      </c>
      <c r="P224" s="1"/>
    </row>
    <row r="225" spans="2:16" ht="15.75" hidden="1" thickBot="1">
      <c r="B225" s="4" t="s">
        <v>285</v>
      </c>
      <c r="C225" s="4" t="s">
        <v>8</v>
      </c>
      <c r="D225" s="4" t="s">
        <v>117</v>
      </c>
      <c r="E225" s="4" t="s">
        <v>17</v>
      </c>
      <c r="F225" s="3">
        <v>222</v>
      </c>
      <c r="G225" s="4" t="s">
        <v>28</v>
      </c>
      <c r="H225" s="4" t="s">
        <v>14</v>
      </c>
      <c r="I225" s="4"/>
      <c r="J225" s="4" t="s">
        <v>507</v>
      </c>
      <c r="K225" s="4" t="s">
        <v>506</v>
      </c>
      <c r="L225" s="4" t="s">
        <v>283</v>
      </c>
      <c r="M225" s="4" t="s">
        <v>282</v>
      </c>
      <c r="N225" s="3">
        <v>0.76689319300000003</v>
      </c>
      <c r="O225" s="3" t="s">
        <v>284</v>
      </c>
      <c r="P225" s="1"/>
    </row>
    <row r="226" spans="2:16" ht="15.75" hidden="1" thickBot="1">
      <c r="B226" s="4" t="s">
        <v>505</v>
      </c>
      <c r="C226" s="4" t="s">
        <v>8</v>
      </c>
      <c r="D226" s="4" t="s">
        <v>117</v>
      </c>
      <c r="E226" s="4" t="s">
        <v>17</v>
      </c>
      <c r="F226" s="3">
        <v>223</v>
      </c>
      <c r="G226" s="4" t="s">
        <v>67</v>
      </c>
      <c r="H226" s="4" t="s">
        <v>14</v>
      </c>
      <c r="I226" s="4"/>
      <c r="J226" s="4" t="s">
        <v>507</v>
      </c>
      <c r="K226" s="4" t="s">
        <v>506</v>
      </c>
      <c r="L226" s="4" t="s">
        <v>503</v>
      </c>
      <c r="M226" s="4" t="s">
        <v>502</v>
      </c>
      <c r="N226" s="3">
        <v>4.9713957290000002</v>
      </c>
      <c r="O226" s="3" t="s">
        <v>504</v>
      </c>
      <c r="P226" s="1"/>
    </row>
    <row r="227" spans="2:16" ht="15.75" hidden="1" thickBot="1">
      <c r="B227" s="4" t="s">
        <v>156</v>
      </c>
      <c r="C227" s="4" t="s">
        <v>8</v>
      </c>
      <c r="D227" s="4" t="s">
        <v>18</v>
      </c>
      <c r="E227" s="4" t="s">
        <v>17</v>
      </c>
      <c r="F227" s="3">
        <v>224</v>
      </c>
      <c r="G227" s="4" t="s">
        <v>28</v>
      </c>
      <c r="H227" s="4" t="s">
        <v>14</v>
      </c>
      <c r="I227" s="4"/>
      <c r="J227" s="4" t="s">
        <v>521</v>
      </c>
      <c r="K227" s="4" t="s">
        <v>520</v>
      </c>
      <c r="L227" s="4" t="s">
        <v>154</v>
      </c>
      <c r="M227" s="4" t="s">
        <v>153</v>
      </c>
      <c r="N227" s="3">
        <v>0.19493613000000001</v>
      </c>
      <c r="O227" s="3" t="s">
        <v>155</v>
      </c>
      <c r="P227" s="1"/>
    </row>
    <row r="228" spans="2:16" ht="15.75" hidden="1" thickBot="1">
      <c r="B228" s="4" t="s">
        <v>160</v>
      </c>
      <c r="C228" s="4" t="s">
        <v>8</v>
      </c>
      <c r="D228" s="4" t="s">
        <v>18</v>
      </c>
      <c r="E228" s="4" t="s">
        <v>17</v>
      </c>
      <c r="F228" s="3">
        <v>225</v>
      </c>
      <c r="G228" s="4" t="s">
        <v>28</v>
      </c>
      <c r="H228" s="4" t="s">
        <v>14</v>
      </c>
      <c r="I228" s="4"/>
      <c r="J228" s="4" t="s">
        <v>521</v>
      </c>
      <c r="K228" s="4" t="s">
        <v>520</v>
      </c>
      <c r="L228" s="4" t="s">
        <v>158</v>
      </c>
      <c r="M228" s="4" t="s">
        <v>157</v>
      </c>
      <c r="N228" s="3">
        <v>0.63527878900000001</v>
      </c>
      <c r="O228" s="3" t="s">
        <v>159</v>
      </c>
      <c r="P228" s="1"/>
    </row>
    <row r="229" spans="2:16" ht="15.75" hidden="1" thickBot="1">
      <c r="B229" s="4" t="s">
        <v>22</v>
      </c>
      <c r="C229" s="4" t="s">
        <v>8</v>
      </c>
      <c r="D229" s="4" t="s">
        <v>18</v>
      </c>
      <c r="E229" s="4" t="s">
        <v>17</v>
      </c>
      <c r="F229" s="3">
        <v>226</v>
      </c>
      <c r="G229" s="4" t="s">
        <v>13</v>
      </c>
      <c r="H229" s="4" t="s">
        <v>14</v>
      </c>
      <c r="I229" s="4"/>
      <c r="J229" s="4" t="s">
        <v>521</v>
      </c>
      <c r="K229" s="4" t="s">
        <v>520</v>
      </c>
      <c r="L229" s="4" t="s">
        <v>20</v>
      </c>
      <c r="M229" s="4" t="s">
        <v>19</v>
      </c>
      <c r="N229" s="3">
        <v>7.8401094000000005E-2</v>
      </c>
      <c r="O229" s="3" t="s">
        <v>21</v>
      </c>
      <c r="P229" s="1"/>
    </row>
    <row r="230" spans="2:16" ht="15.75" hidden="1" thickBot="1">
      <c r="B230" s="4" t="s">
        <v>131</v>
      </c>
      <c r="C230" s="4" t="s">
        <v>8</v>
      </c>
      <c r="D230" s="4" t="s">
        <v>18</v>
      </c>
      <c r="E230" s="4" t="s">
        <v>17</v>
      </c>
      <c r="F230" s="3">
        <v>227</v>
      </c>
      <c r="G230" s="4" t="s">
        <v>28</v>
      </c>
      <c r="H230" s="4" t="s">
        <v>14</v>
      </c>
      <c r="I230" s="4"/>
      <c r="J230" s="4" t="s">
        <v>521</v>
      </c>
      <c r="K230" s="4" t="s">
        <v>520</v>
      </c>
      <c r="L230" s="4" t="s">
        <v>129</v>
      </c>
      <c r="M230" s="4" t="s">
        <v>128</v>
      </c>
      <c r="N230" s="3">
        <v>0.47248371</v>
      </c>
      <c r="O230" s="3" t="s">
        <v>130</v>
      </c>
      <c r="P230" s="1"/>
    </row>
    <row r="231" spans="2:16" ht="15.75" hidden="1" thickBot="1">
      <c r="B231" s="4" t="s">
        <v>27</v>
      </c>
      <c r="C231" s="4" t="s">
        <v>8</v>
      </c>
      <c r="D231" s="4" t="s">
        <v>18</v>
      </c>
      <c r="E231" s="4" t="s">
        <v>17</v>
      </c>
      <c r="F231" s="3">
        <v>228</v>
      </c>
      <c r="G231" s="4" t="s">
        <v>23</v>
      </c>
      <c r="H231" s="4" t="s">
        <v>14</v>
      </c>
      <c r="I231" s="4"/>
      <c r="J231" s="4" t="s">
        <v>521</v>
      </c>
      <c r="K231" s="4" t="s">
        <v>520</v>
      </c>
      <c r="L231" s="4" t="s">
        <v>25</v>
      </c>
      <c r="M231" s="4" t="s">
        <v>24</v>
      </c>
      <c r="N231" s="3">
        <v>3.5528641999999999E-2</v>
      </c>
      <c r="O231" s="3" t="s">
        <v>26</v>
      </c>
      <c r="P231" s="1"/>
    </row>
    <row r="232" spans="2:16" ht="15.75" hidden="1" thickBot="1">
      <c r="B232" s="4" t="s">
        <v>97</v>
      </c>
      <c r="C232" s="4" t="s">
        <v>8</v>
      </c>
      <c r="D232" s="4" t="s">
        <v>18</v>
      </c>
      <c r="E232" s="4" t="s">
        <v>17</v>
      </c>
      <c r="F232" s="3">
        <v>229</v>
      </c>
      <c r="G232" s="4" t="s">
        <v>28</v>
      </c>
      <c r="H232" s="4" t="s">
        <v>14</v>
      </c>
      <c r="I232" s="4"/>
      <c r="J232" s="4" t="s">
        <v>521</v>
      </c>
      <c r="K232" s="4" t="s">
        <v>520</v>
      </c>
      <c r="L232" s="4" t="s">
        <v>95</v>
      </c>
      <c r="M232" s="4" t="s">
        <v>94</v>
      </c>
      <c r="N232" s="3">
        <v>0.87211157699999997</v>
      </c>
      <c r="O232" s="3" t="s">
        <v>132</v>
      </c>
      <c r="P232" s="1"/>
    </row>
    <row r="233" spans="2:16" ht="15.75" hidden="1" thickBot="1">
      <c r="B233" s="4" t="s">
        <v>164</v>
      </c>
      <c r="C233" s="4" t="s">
        <v>8</v>
      </c>
      <c r="D233" s="4" t="s">
        <v>18</v>
      </c>
      <c r="E233" s="4" t="s">
        <v>17</v>
      </c>
      <c r="F233" s="3">
        <v>230</v>
      </c>
      <c r="G233" s="4" t="s">
        <v>28</v>
      </c>
      <c r="H233" s="4" t="s">
        <v>14</v>
      </c>
      <c r="I233" s="4"/>
      <c r="J233" s="4" t="s">
        <v>521</v>
      </c>
      <c r="K233" s="4" t="s">
        <v>520</v>
      </c>
      <c r="L233" s="4" t="s">
        <v>162</v>
      </c>
      <c r="M233" s="4" t="s">
        <v>161</v>
      </c>
      <c r="N233" s="3">
        <v>0.93394929299999996</v>
      </c>
      <c r="O233" s="3" t="s">
        <v>163</v>
      </c>
      <c r="P233" s="1"/>
    </row>
    <row r="234" spans="2:16" ht="15.75" hidden="1" thickBot="1">
      <c r="B234" s="4" t="s">
        <v>168</v>
      </c>
      <c r="C234" s="4" t="s">
        <v>8</v>
      </c>
      <c r="D234" s="4" t="s">
        <v>18</v>
      </c>
      <c r="E234" s="4" t="s">
        <v>17</v>
      </c>
      <c r="F234" s="3">
        <v>231</v>
      </c>
      <c r="G234" s="4" t="s">
        <v>28</v>
      </c>
      <c r="H234" s="4" t="s">
        <v>14</v>
      </c>
      <c r="I234" s="4"/>
      <c r="J234" s="4" t="s">
        <v>521</v>
      </c>
      <c r="K234" s="4" t="s">
        <v>520</v>
      </c>
      <c r="L234" s="4" t="s">
        <v>166</v>
      </c>
      <c r="M234" s="4" t="s">
        <v>165</v>
      </c>
      <c r="N234" s="3">
        <v>0.33834098400000001</v>
      </c>
      <c r="O234" s="3" t="s">
        <v>167</v>
      </c>
      <c r="P234" s="1"/>
    </row>
    <row r="235" spans="2:16" ht="15.75" hidden="1" thickBot="1">
      <c r="B235" s="4" t="s">
        <v>172</v>
      </c>
      <c r="C235" s="4" t="s">
        <v>8</v>
      </c>
      <c r="D235" s="4" t="s">
        <v>18</v>
      </c>
      <c r="E235" s="4" t="s">
        <v>17</v>
      </c>
      <c r="F235" s="3">
        <v>232</v>
      </c>
      <c r="G235" s="4" t="s">
        <v>114</v>
      </c>
      <c r="H235" s="4" t="s">
        <v>14</v>
      </c>
      <c r="I235" s="4"/>
      <c r="J235" s="4" t="s">
        <v>521</v>
      </c>
      <c r="K235" s="4" t="s">
        <v>520</v>
      </c>
      <c r="L235" s="4" t="s">
        <v>170</v>
      </c>
      <c r="M235" s="4" t="s">
        <v>169</v>
      </c>
      <c r="N235" s="3">
        <v>0.102175549</v>
      </c>
      <c r="O235" s="3" t="s">
        <v>171</v>
      </c>
      <c r="P235" s="1"/>
    </row>
    <row r="236" spans="2:16" ht="15.75" hidden="1" thickBot="1">
      <c r="B236" s="4" t="s">
        <v>177</v>
      </c>
      <c r="C236" s="4" t="s">
        <v>8</v>
      </c>
      <c r="D236" s="4" t="s">
        <v>18</v>
      </c>
      <c r="E236" s="4" t="s">
        <v>17</v>
      </c>
      <c r="F236" s="3">
        <v>233</v>
      </c>
      <c r="G236" s="4" t="s">
        <v>173</v>
      </c>
      <c r="H236" s="4" t="s">
        <v>14</v>
      </c>
      <c r="I236" s="4"/>
      <c r="J236" s="4" t="s">
        <v>521</v>
      </c>
      <c r="K236" s="4" t="s">
        <v>520</v>
      </c>
      <c r="L236" s="4" t="s">
        <v>175</v>
      </c>
      <c r="M236" s="4" t="s">
        <v>174</v>
      </c>
      <c r="N236" s="3">
        <v>5.0621889000000003E-2</v>
      </c>
      <c r="O236" s="3" t="s">
        <v>176</v>
      </c>
      <c r="P236" s="1"/>
    </row>
    <row r="237" spans="2:16" ht="15.75" hidden="1" thickBot="1">
      <c r="B237" s="4" t="s">
        <v>182</v>
      </c>
      <c r="C237" s="4" t="s">
        <v>8</v>
      </c>
      <c r="D237" s="4" t="s">
        <v>18</v>
      </c>
      <c r="E237" s="4" t="s">
        <v>17</v>
      </c>
      <c r="F237" s="3">
        <v>234</v>
      </c>
      <c r="G237" s="4" t="s">
        <v>178</v>
      </c>
      <c r="H237" s="4" t="s">
        <v>14</v>
      </c>
      <c r="I237" s="4"/>
      <c r="J237" s="4" t="s">
        <v>521</v>
      </c>
      <c r="K237" s="4" t="s">
        <v>520</v>
      </c>
      <c r="L237" s="4" t="s">
        <v>180</v>
      </c>
      <c r="M237" s="4" t="s">
        <v>179</v>
      </c>
      <c r="N237" s="3">
        <v>3.2154943999999998E-2</v>
      </c>
      <c r="O237" s="3" t="s">
        <v>181</v>
      </c>
      <c r="P237" s="1"/>
    </row>
    <row r="238" spans="2:16" ht="15.75" hidden="1" thickBot="1">
      <c r="B238" s="4" t="s">
        <v>186</v>
      </c>
      <c r="C238" s="4" t="s">
        <v>8</v>
      </c>
      <c r="D238" s="4" t="s">
        <v>18</v>
      </c>
      <c r="E238" s="4" t="s">
        <v>17</v>
      </c>
      <c r="F238" s="3">
        <v>235</v>
      </c>
      <c r="G238" s="4" t="s">
        <v>173</v>
      </c>
      <c r="H238" s="4" t="s">
        <v>14</v>
      </c>
      <c r="I238" s="4"/>
      <c r="J238" s="4" t="s">
        <v>521</v>
      </c>
      <c r="K238" s="4" t="s">
        <v>520</v>
      </c>
      <c r="L238" s="4" t="s">
        <v>184</v>
      </c>
      <c r="M238" s="4" t="s">
        <v>183</v>
      </c>
      <c r="N238" s="3">
        <v>3.8747862000000001E-2</v>
      </c>
      <c r="O238" s="3" t="s">
        <v>185</v>
      </c>
      <c r="P238" s="1"/>
    </row>
    <row r="239" spans="2:16" ht="15.75" hidden="1" thickBot="1">
      <c r="B239" s="4" t="s">
        <v>190</v>
      </c>
      <c r="C239" s="4" t="s">
        <v>8</v>
      </c>
      <c r="D239" s="4" t="s">
        <v>18</v>
      </c>
      <c r="E239" s="4" t="s">
        <v>17</v>
      </c>
      <c r="F239" s="3">
        <v>236</v>
      </c>
      <c r="G239" s="4" t="s">
        <v>28</v>
      </c>
      <c r="H239" s="4" t="s">
        <v>14</v>
      </c>
      <c r="I239" s="4"/>
      <c r="J239" s="4" t="s">
        <v>521</v>
      </c>
      <c r="K239" s="4" t="s">
        <v>520</v>
      </c>
      <c r="L239" s="4" t="s">
        <v>188</v>
      </c>
      <c r="M239" s="4" t="s">
        <v>187</v>
      </c>
      <c r="N239" s="3">
        <v>0.137211575</v>
      </c>
      <c r="O239" s="3" t="s">
        <v>189</v>
      </c>
      <c r="P239" s="1"/>
    </row>
    <row r="240" spans="2:16" ht="15.75" hidden="1" thickBot="1">
      <c r="B240" s="4" t="s">
        <v>194</v>
      </c>
      <c r="C240" s="4" t="s">
        <v>8</v>
      </c>
      <c r="D240" s="4" t="s">
        <v>18</v>
      </c>
      <c r="E240" s="4" t="s">
        <v>17</v>
      </c>
      <c r="F240" s="3">
        <v>237</v>
      </c>
      <c r="G240" s="4" t="s">
        <v>114</v>
      </c>
      <c r="H240" s="4" t="s">
        <v>14</v>
      </c>
      <c r="I240" s="4"/>
      <c r="J240" s="4" t="s">
        <v>521</v>
      </c>
      <c r="K240" s="4" t="s">
        <v>520</v>
      </c>
      <c r="L240" s="4" t="s">
        <v>192</v>
      </c>
      <c r="M240" s="4" t="s">
        <v>191</v>
      </c>
      <c r="N240" s="3">
        <v>0.22121315</v>
      </c>
      <c r="O240" s="3" t="s">
        <v>193</v>
      </c>
      <c r="P240" s="1"/>
    </row>
    <row r="241" spans="2:16" ht="15.75" hidden="1" thickBot="1">
      <c r="B241" s="4" t="s">
        <v>48</v>
      </c>
      <c r="C241" s="4" t="s">
        <v>8</v>
      </c>
      <c r="D241" s="4" t="s">
        <v>18</v>
      </c>
      <c r="E241" s="4" t="s">
        <v>17</v>
      </c>
      <c r="F241" s="3">
        <v>238</v>
      </c>
      <c r="G241" s="4" t="s">
        <v>44</v>
      </c>
      <c r="H241" s="4" t="s">
        <v>14</v>
      </c>
      <c r="I241" s="4"/>
      <c r="J241" s="4" t="s">
        <v>521</v>
      </c>
      <c r="K241" s="4" t="s">
        <v>520</v>
      </c>
      <c r="L241" s="4" t="s">
        <v>46</v>
      </c>
      <c r="M241" s="4" t="s">
        <v>45</v>
      </c>
      <c r="N241" s="3">
        <v>4.2972555000000003E-2</v>
      </c>
      <c r="O241" s="3" t="s">
        <v>47</v>
      </c>
      <c r="P241" s="1"/>
    </row>
    <row r="242" spans="2:16" ht="15.75" hidden="1" thickBot="1">
      <c r="B242" s="4" t="s">
        <v>136</v>
      </c>
      <c r="C242" s="4" t="s">
        <v>8</v>
      </c>
      <c r="D242" s="4" t="s">
        <v>18</v>
      </c>
      <c r="E242" s="4" t="s">
        <v>17</v>
      </c>
      <c r="F242" s="3">
        <v>239</v>
      </c>
      <c r="G242" s="4" t="s">
        <v>28</v>
      </c>
      <c r="H242" s="4" t="s">
        <v>14</v>
      </c>
      <c r="I242" s="4"/>
      <c r="J242" s="4" t="s">
        <v>521</v>
      </c>
      <c r="K242" s="4" t="s">
        <v>520</v>
      </c>
      <c r="L242" s="4" t="s">
        <v>134</v>
      </c>
      <c r="M242" s="4" t="s">
        <v>133</v>
      </c>
      <c r="N242" s="3">
        <v>0.52737858699999995</v>
      </c>
      <c r="O242" s="3" t="s">
        <v>135</v>
      </c>
      <c r="P242" s="1"/>
    </row>
    <row r="243" spans="2:16" ht="15.75" hidden="1" thickBot="1">
      <c r="B243" s="4" t="s">
        <v>203</v>
      </c>
      <c r="C243" s="4" t="s">
        <v>8</v>
      </c>
      <c r="D243" s="4" t="s">
        <v>18</v>
      </c>
      <c r="E243" s="4" t="s">
        <v>17</v>
      </c>
      <c r="F243" s="3">
        <v>240</v>
      </c>
      <c r="G243" s="4" t="s">
        <v>44</v>
      </c>
      <c r="H243" s="4" t="s">
        <v>14</v>
      </c>
      <c r="I243" s="4"/>
      <c r="J243" s="4" t="s">
        <v>521</v>
      </c>
      <c r="K243" s="4" t="s">
        <v>520</v>
      </c>
      <c r="L243" s="4" t="s">
        <v>201</v>
      </c>
      <c r="M243" s="4" t="s">
        <v>200</v>
      </c>
      <c r="N243" s="3">
        <v>0.31439817599999997</v>
      </c>
      <c r="O243" s="3" t="s">
        <v>202</v>
      </c>
      <c r="P243" s="1"/>
    </row>
    <row r="244" spans="2:16" ht="15.75" hidden="1" thickBot="1">
      <c r="B244" s="4" t="s">
        <v>140</v>
      </c>
      <c r="C244" s="4" t="s">
        <v>8</v>
      </c>
      <c r="D244" s="4" t="s">
        <v>18</v>
      </c>
      <c r="E244" s="4" t="s">
        <v>17</v>
      </c>
      <c r="F244" s="3">
        <v>241</v>
      </c>
      <c r="G244" s="4" t="s">
        <v>114</v>
      </c>
      <c r="H244" s="4" t="s">
        <v>14</v>
      </c>
      <c r="I244" s="4"/>
      <c r="J244" s="4" t="s">
        <v>521</v>
      </c>
      <c r="K244" s="4" t="s">
        <v>520</v>
      </c>
      <c r="L244" s="4" t="s">
        <v>138</v>
      </c>
      <c r="M244" s="4" t="s">
        <v>137</v>
      </c>
      <c r="N244" s="3">
        <v>0.100676591</v>
      </c>
      <c r="O244" s="3" t="s">
        <v>139</v>
      </c>
      <c r="P244" s="1"/>
    </row>
    <row r="245" spans="2:16" ht="15.75" hidden="1" thickBot="1">
      <c r="B245" s="4" t="s">
        <v>66</v>
      </c>
      <c r="C245" s="4" t="s">
        <v>8</v>
      </c>
      <c r="D245" s="4" t="s">
        <v>18</v>
      </c>
      <c r="E245" s="4" t="s">
        <v>17</v>
      </c>
      <c r="F245" s="3">
        <v>242</v>
      </c>
      <c r="G245" s="4" t="s">
        <v>13</v>
      </c>
      <c r="H245" s="4" t="s">
        <v>14</v>
      </c>
      <c r="I245" s="4"/>
      <c r="J245" s="4" t="s">
        <v>521</v>
      </c>
      <c r="K245" s="4" t="s">
        <v>520</v>
      </c>
      <c r="L245" s="4" t="s">
        <v>64</v>
      </c>
      <c r="M245" s="4" t="s">
        <v>63</v>
      </c>
      <c r="N245" s="3">
        <v>0.22674504600000001</v>
      </c>
      <c r="O245" s="3" t="s">
        <v>65</v>
      </c>
      <c r="P245" s="1"/>
    </row>
    <row r="246" spans="2:16" ht="15.75" hidden="1" thickBot="1">
      <c r="B246" s="4" t="s">
        <v>211</v>
      </c>
      <c r="C246" s="4" t="s">
        <v>8</v>
      </c>
      <c r="D246" s="4" t="s">
        <v>18</v>
      </c>
      <c r="E246" s="4" t="s">
        <v>17</v>
      </c>
      <c r="F246" s="3">
        <v>243</v>
      </c>
      <c r="G246" s="4" t="s">
        <v>67</v>
      </c>
      <c r="H246" s="4" t="s">
        <v>14</v>
      </c>
      <c r="I246" s="4"/>
      <c r="J246" s="4" t="s">
        <v>521</v>
      </c>
      <c r="K246" s="4" t="s">
        <v>520</v>
      </c>
      <c r="L246" s="4" t="s">
        <v>209</v>
      </c>
      <c r="M246" s="4" t="s">
        <v>208</v>
      </c>
      <c r="N246" s="3">
        <v>1.3269816E-2</v>
      </c>
      <c r="O246" s="3" t="s">
        <v>210</v>
      </c>
      <c r="P246" s="1"/>
    </row>
    <row r="247" spans="2:16" ht="15.75" hidden="1" thickBot="1">
      <c r="B247" s="4" t="s">
        <v>71</v>
      </c>
      <c r="C247" s="4" t="s">
        <v>8</v>
      </c>
      <c r="D247" s="4" t="s">
        <v>18</v>
      </c>
      <c r="E247" s="4" t="s">
        <v>17</v>
      </c>
      <c r="F247" s="3">
        <v>244</v>
      </c>
      <c r="G247" s="4" t="s">
        <v>67</v>
      </c>
      <c r="H247" s="4" t="s">
        <v>14</v>
      </c>
      <c r="I247" s="4"/>
      <c r="J247" s="4" t="s">
        <v>521</v>
      </c>
      <c r="K247" s="4" t="s">
        <v>520</v>
      </c>
      <c r="L247" s="4" t="s">
        <v>69</v>
      </c>
      <c r="M247" s="4" t="s">
        <v>68</v>
      </c>
      <c r="N247" s="3">
        <v>8.7936545000000005E-2</v>
      </c>
      <c r="O247" s="3" t="s">
        <v>70</v>
      </c>
      <c r="P247" s="1"/>
    </row>
    <row r="248" spans="2:16" ht="15.75" hidden="1" thickBot="1">
      <c r="B248" s="4" t="s">
        <v>75</v>
      </c>
      <c r="C248" s="4" t="s">
        <v>8</v>
      </c>
      <c r="D248" s="4" t="s">
        <v>18</v>
      </c>
      <c r="E248" s="4" t="s">
        <v>17</v>
      </c>
      <c r="F248" s="3">
        <v>245</v>
      </c>
      <c r="G248" s="4" t="s">
        <v>28</v>
      </c>
      <c r="H248" s="4" t="s">
        <v>14</v>
      </c>
      <c r="I248" s="4"/>
      <c r="J248" s="4" t="s">
        <v>521</v>
      </c>
      <c r="K248" s="4" t="s">
        <v>520</v>
      </c>
      <c r="L248" s="4" t="s">
        <v>73</v>
      </c>
      <c r="M248" s="4" t="s">
        <v>72</v>
      </c>
      <c r="N248" s="3">
        <v>0.37849119199999998</v>
      </c>
      <c r="O248" s="3" t="s">
        <v>74</v>
      </c>
      <c r="P248" s="1"/>
    </row>
    <row r="249" spans="2:16" ht="15.75" hidden="1" thickBot="1">
      <c r="B249" s="4" t="s">
        <v>144</v>
      </c>
      <c r="C249" s="4" t="s">
        <v>8</v>
      </c>
      <c r="D249" s="4" t="s">
        <v>18</v>
      </c>
      <c r="E249" s="4" t="s">
        <v>17</v>
      </c>
      <c r="F249" s="3">
        <v>246</v>
      </c>
      <c r="G249" s="4" t="s">
        <v>28</v>
      </c>
      <c r="H249" s="4" t="s">
        <v>14</v>
      </c>
      <c r="I249" s="4"/>
      <c r="J249" s="4" t="s">
        <v>521</v>
      </c>
      <c r="K249" s="4" t="s">
        <v>520</v>
      </c>
      <c r="L249" s="4" t="s">
        <v>142</v>
      </c>
      <c r="M249" s="4" t="s">
        <v>141</v>
      </c>
      <c r="N249" s="3">
        <v>0.34693524999999997</v>
      </c>
      <c r="O249" s="3" t="s">
        <v>143</v>
      </c>
      <c r="P249" s="1"/>
    </row>
    <row r="250" spans="2:16" ht="15.75" hidden="1" thickBot="1">
      <c r="B250" s="4" t="s">
        <v>215</v>
      </c>
      <c r="C250" s="4" t="s">
        <v>8</v>
      </c>
      <c r="D250" s="4" t="s">
        <v>18</v>
      </c>
      <c r="E250" s="4" t="s">
        <v>17</v>
      </c>
      <c r="F250" s="3">
        <v>247</v>
      </c>
      <c r="G250" s="4" t="s">
        <v>28</v>
      </c>
      <c r="H250" s="4" t="s">
        <v>14</v>
      </c>
      <c r="I250" s="4"/>
      <c r="J250" s="4" t="s">
        <v>521</v>
      </c>
      <c r="K250" s="4" t="s">
        <v>520</v>
      </c>
      <c r="L250" s="4" t="s">
        <v>213</v>
      </c>
      <c r="M250" s="4" t="s">
        <v>212</v>
      </c>
      <c r="N250" s="3">
        <v>0.78328156400000004</v>
      </c>
      <c r="O250" s="3" t="s">
        <v>214</v>
      </c>
      <c r="P250" s="1"/>
    </row>
    <row r="251" spans="2:16" ht="15.75" hidden="1" thickBot="1">
      <c r="B251" s="4" t="s">
        <v>79</v>
      </c>
      <c r="C251" s="4" t="s">
        <v>8</v>
      </c>
      <c r="D251" s="4" t="s">
        <v>18</v>
      </c>
      <c r="E251" s="4" t="s">
        <v>17</v>
      </c>
      <c r="F251" s="3">
        <v>248</v>
      </c>
      <c r="G251" s="4" t="s">
        <v>28</v>
      </c>
      <c r="H251" s="4" t="s">
        <v>14</v>
      </c>
      <c r="I251" s="4"/>
      <c r="J251" s="4" t="s">
        <v>521</v>
      </c>
      <c r="K251" s="4" t="s">
        <v>520</v>
      </c>
      <c r="L251" s="4" t="s">
        <v>77</v>
      </c>
      <c r="M251" s="4" t="s">
        <v>76</v>
      </c>
      <c r="N251" s="3">
        <v>0.36348222699999999</v>
      </c>
      <c r="O251" s="3" t="s">
        <v>78</v>
      </c>
      <c r="P251" s="1"/>
    </row>
    <row r="252" spans="2:16" ht="15.75" hidden="1" thickBot="1">
      <c r="B252" s="4" t="s">
        <v>148</v>
      </c>
      <c r="C252" s="4" t="s">
        <v>8</v>
      </c>
      <c r="D252" s="4" t="s">
        <v>18</v>
      </c>
      <c r="E252" s="4" t="s">
        <v>17</v>
      </c>
      <c r="F252" s="3">
        <v>249</v>
      </c>
      <c r="G252" s="4" t="s">
        <v>28</v>
      </c>
      <c r="H252" s="4" t="s">
        <v>14</v>
      </c>
      <c r="I252" s="4"/>
      <c r="J252" s="4" t="s">
        <v>521</v>
      </c>
      <c r="K252" s="4" t="s">
        <v>520</v>
      </c>
      <c r="L252" s="4" t="s">
        <v>146</v>
      </c>
      <c r="M252" s="4" t="s">
        <v>145</v>
      </c>
      <c r="N252" s="3">
        <v>0.509465367</v>
      </c>
      <c r="O252" s="3" t="s">
        <v>147</v>
      </c>
      <c r="P252" s="1"/>
    </row>
    <row r="253" spans="2:16" ht="15.75" hidden="1" thickBot="1">
      <c r="B253" s="4" t="s">
        <v>52</v>
      </c>
      <c r="C253" s="4" t="s">
        <v>8</v>
      </c>
      <c r="D253" s="4" t="s">
        <v>18</v>
      </c>
      <c r="E253" s="4" t="s">
        <v>17</v>
      </c>
      <c r="F253" s="3">
        <v>250</v>
      </c>
      <c r="G253" s="4" t="s">
        <v>28</v>
      </c>
      <c r="H253" s="4" t="s">
        <v>14</v>
      </c>
      <c r="I253" s="4"/>
      <c r="J253" s="4" t="s">
        <v>521</v>
      </c>
      <c r="K253" s="4" t="s">
        <v>520</v>
      </c>
      <c r="L253" s="4" t="s">
        <v>50</v>
      </c>
      <c r="M253" s="4" t="s">
        <v>49</v>
      </c>
      <c r="N253" s="3">
        <v>2.1197980000000002E-2</v>
      </c>
      <c r="O253" s="3" t="s">
        <v>51</v>
      </c>
      <c r="P253" s="1"/>
    </row>
    <row r="254" spans="2:16" ht="15.75" hidden="1" thickBot="1">
      <c r="B254" s="4" t="s">
        <v>56</v>
      </c>
      <c r="C254" s="4" t="s">
        <v>8</v>
      </c>
      <c r="D254" s="4" t="s">
        <v>18</v>
      </c>
      <c r="E254" s="4" t="s">
        <v>17</v>
      </c>
      <c r="F254" s="3">
        <v>251</v>
      </c>
      <c r="G254" s="4" t="s">
        <v>28</v>
      </c>
      <c r="H254" s="4" t="s">
        <v>14</v>
      </c>
      <c r="I254" s="4"/>
      <c r="J254" s="4" t="s">
        <v>521</v>
      </c>
      <c r="K254" s="4" t="s">
        <v>520</v>
      </c>
      <c r="L254" s="4" t="s">
        <v>54</v>
      </c>
      <c r="M254" s="4" t="s">
        <v>53</v>
      </c>
      <c r="N254" s="3">
        <v>7.0629699000000004E-2</v>
      </c>
      <c r="O254" s="3" t="s">
        <v>55</v>
      </c>
      <c r="P254" s="1"/>
    </row>
    <row r="255" spans="2:16" ht="15.75" hidden="1" thickBot="1">
      <c r="B255" s="4" t="s">
        <v>60</v>
      </c>
      <c r="C255" s="4" t="s">
        <v>8</v>
      </c>
      <c r="D255" s="4" t="s">
        <v>18</v>
      </c>
      <c r="E255" s="4" t="s">
        <v>17</v>
      </c>
      <c r="F255" s="3">
        <v>252</v>
      </c>
      <c r="G255" s="4" t="s">
        <v>28</v>
      </c>
      <c r="H255" s="4" t="s">
        <v>14</v>
      </c>
      <c r="I255" s="4"/>
      <c r="J255" s="4" t="s">
        <v>521</v>
      </c>
      <c r="K255" s="4" t="s">
        <v>520</v>
      </c>
      <c r="L255" s="4" t="s">
        <v>58</v>
      </c>
      <c r="M255" s="4" t="s">
        <v>57</v>
      </c>
      <c r="N255" s="3">
        <v>0.42679073499999998</v>
      </c>
      <c r="O255" s="3" t="s">
        <v>59</v>
      </c>
      <c r="P255" s="1"/>
    </row>
    <row r="256" spans="2:16" ht="15.75" hidden="1" thickBot="1">
      <c r="B256" s="4" t="s">
        <v>219</v>
      </c>
      <c r="C256" s="4" t="s">
        <v>8</v>
      </c>
      <c r="D256" s="4" t="s">
        <v>18</v>
      </c>
      <c r="E256" s="4" t="s">
        <v>17</v>
      </c>
      <c r="F256" s="3">
        <v>253</v>
      </c>
      <c r="G256" s="4" t="s">
        <v>13</v>
      </c>
      <c r="H256" s="4" t="s">
        <v>14</v>
      </c>
      <c r="I256" s="4"/>
      <c r="J256" s="4" t="s">
        <v>521</v>
      </c>
      <c r="K256" s="4" t="s">
        <v>520</v>
      </c>
      <c r="L256" s="4" t="s">
        <v>217</v>
      </c>
      <c r="M256" s="4" t="s">
        <v>216</v>
      </c>
      <c r="N256" s="3">
        <v>2.0881934850000001</v>
      </c>
      <c r="O256" s="3" t="s">
        <v>218</v>
      </c>
      <c r="P256" s="1"/>
    </row>
    <row r="257" spans="2:16" ht="23.25" hidden="1" thickBot="1">
      <c r="B257" s="4" t="s">
        <v>511</v>
      </c>
      <c r="C257" s="4" t="s">
        <v>8</v>
      </c>
      <c r="D257" s="4" t="s">
        <v>18</v>
      </c>
      <c r="E257" s="4" t="s">
        <v>17</v>
      </c>
      <c r="F257" s="3">
        <v>254</v>
      </c>
      <c r="G257" s="4" t="s">
        <v>67</v>
      </c>
      <c r="H257" s="4" t="s">
        <v>14</v>
      </c>
      <c r="I257" s="4"/>
      <c r="J257" s="4" t="s">
        <v>523</v>
      </c>
      <c r="K257" s="4" t="s">
        <v>522</v>
      </c>
      <c r="L257" s="4" t="s">
        <v>509</v>
      </c>
      <c r="M257" s="4" t="s">
        <v>508</v>
      </c>
      <c r="N257" s="3">
        <v>0.70787814299999996</v>
      </c>
      <c r="O257" s="3" t="s">
        <v>510</v>
      </c>
      <c r="P257" s="1"/>
    </row>
    <row r="258" spans="2:16" ht="23.25" hidden="1" thickBot="1">
      <c r="B258" s="4" t="s">
        <v>515</v>
      </c>
      <c r="C258" s="4" t="s">
        <v>8</v>
      </c>
      <c r="D258" s="4" t="s">
        <v>18</v>
      </c>
      <c r="E258" s="4" t="s">
        <v>17</v>
      </c>
      <c r="F258" s="3">
        <v>255</v>
      </c>
      <c r="G258" s="4" t="s">
        <v>67</v>
      </c>
      <c r="H258" s="4" t="s">
        <v>14</v>
      </c>
      <c r="I258" s="4"/>
      <c r="J258" s="4" t="s">
        <v>523</v>
      </c>
      <c r="K258" s="4" t="s">
        <v>522</v>
      </c>
      <c r="L258" s="4" t="s">
        <v>513</v>
      </c>
      <c r="M258" s="4" t="s">
        <v>512</v>
      </c>
      <c r="N258" s="3">
        <v>0.86667844900000002</v>
      </c>
      <c r="O258" s="3" t="s">
        <v>514</v>
      </c>
      <c r="P258" s="1"/>
    </row>
    <row r="259" spans="2:16" ht="23.25" hidden="1" thickBot="1">
      <c r="B259" s="4" t="s">
        <v>519</v>
      </c>
      <c r="C259" s="4" t="s">
        <v>8</v>
      </c>
      <c r="D259" s="4" t="s">
        <v>18</v>
      </c>
      <c r="E259" s="4" t="s">
        <v>17</v>
      </c>
      <c r="F259" s="3">
        <v>256</v>
      </c>
      <c r="G259" s="4" t="s">
        <v>67</v>
      </c>
      <c r="H259" s="4" t="s">
        <v>14</v>
      </c>
      <c r="I259" s="4"/>
      <c r="J259" s="4" t="s">
        <v>523</v>
      </c>
      <c r="K259" s="4" t="s">
        <v>522</v>
      </c>
      <c r="L259" s="4" t="s">
        <v>517</v>
      </c>
      <c r="M259" s="4" t="s">
        <v>516</v>
      </c>
      <c r="N259" s="3">
        <v>0.78971185899999996</v>
      </c>
      <c r="O259" s="3" t="s">
        <v>518</v>
      </c>
      <c r="P259" s="1"/>
    </row>
    <row r="260" spans="2:16" ht="23.25" hidden="1" thickBot="1">
      <c r="B260" s="4" t="s">
        <v>225</v>
      </c>
      <c r="C260" s="4" t="s">
        <v>8</v>
      </c>
      <c r="D260" s="4" t="s">
        <v>18</v>
      </c>
      <c r="E260" s="4" t="s">
        <v>17</v>
      </c>
      <c r="F260" s="3">
        <v>257</v>
      </c>
      <c r="G260" s="4" t="s">
        <v>13</v>
      </c>
      <c r="H260" s="4" t="s">
        <v>14</v>
      </c>
      <c r="I260" s="4"/>
      <c r="J260" s="4" t="s">
        <v>523</v>
      </c>
      <c r="K260" s="4" t="s">
        <v>522</v>
      </c>
      <c r="L260" s="4" t="s">
        <v>223</v>
      </c>
      <c r="M260" s="4" t="s">
        <v>222</v>
      </c>
      <c r="N260" s="3">
        <v>8.3464916E-2</v>
      </c>
      <c r="O260" s="3" t="s">
        <v>224</v>
      </c>
      <c r="P260" s="1"/>
    </row>
    <row r="261" spans="2:16" ht="23.25" hidden="1" thickBot="1">
      <c r="B261" s="4" t="s">
        <v>229</v>
      </c>
      <c r="C261" s="4" t="s">
        <v>8</v>
      </c>
      <c r="D261" s="4" t="s">
        <v>18</v>
      </c>
      <c r="E261" s="4" t="s">
        <v>17</v>
      </c>
      <c r="F261" s="3">
        <v>258</v>
      </c>
      <c r="G261" s="4" t="s">
        <v>13</v>
      </c>
      <c r="H261" s="4" t="s">
        <v>14</v>
      </c>
      <c r="I261" s="4"/>
      <c r="J261" s="4" t="s">
        <v>523</v>
      </c>
      <c r="K261" s="4" t="s">
        <v>522</v>
      </c>
      <c r="L261" s="4" t="s">
        <v>227</v>
      </c>
      <c r="M261" s="4" t="s">
        <v>226</v>
      </c>
      <c r="N261" s="3">
        <v>8.4422709999999998E-2</v>
      </c>
      <c r="O261" s="3" t="s">
        <v>228</v>
      </c>
      <c r="P261" s="1"/>
    </row>
    <row r="262" spans="2:16" ht="23.25" hidden="1" thickBot="1">
      <c r="B262" s="4" t="s">
        <v>233</v>
      </c>
      <c r="C262" s="4" t="s">
        <v>8</v>
      </c>
      <c r="D262" s="4" t="s">
        <v>18</v>
      </c>
      <c r="E262" s="4" t="s">
        <v>17</v>
      </c>
      <c r="F262" s="3">
        <v>259</v>
      </c>
      <c r="G262" s="4" t="s">
        <v>13</v>
      </c>
      <c r="H262" s="4" t="s">
        <v>14</v>
      </c>
      <c r="I262" s="4"/>
      <c r="J262" s="4" t="s">
        <v>523</v>
      </c>
      <c r="K262" s="4" t="s">
        <v>522</v>
      </c>
      <c r="L262" s="4" t="s">
        <v>231</v>
      </c>
      <c r="M262" s="4" t="s">
        <v>230</v>
      </c>
      <c r="N262" s="3">
        <v>5.7843923999999998E-2</v>
      </c>
      <c r="O262" s="3" t="s">
        <v>232</v>
      </c>
      <c r="P262" s="1"/>
    </row>
    <row r="263" spans="2:16" ht="15.75" hidden="1" thickBot="1">
      <c r="B263" s="4" t="s">
        <v>240</v>
      </c>
      <c r="C263" s="4" t="s">
        <v>8</v>
      </c>
      <c r="D263" s="4" t="s">
        <v>18</v>
      </c>
      <c r="E263" s="4" t="s">
        <v>17</v>
      </c>
      <c r="F263" s="3">
        <v>260</v>
      </c>
      <c r="G263" s="4" t="s">
        <v>28</v>
      </c>
      <c r="H263" s="4" t="s">
        <v>14</v>
      </c>
      <c r="I263" s="4"/>
      <c r="J263" s="4" t="s">
        <v>525</v>
      </c>
      <c r="K263" s="4" t="s">
        <v>524</v>
      </c>
      <c r="L263" s="4" t="s">
        <v>238</v>
      </c>
      <c r="M263" s="4" t="s">
        <v>237</v>
      </c>
      <c r="N263" s="3">
        <v>6.6308441999999995E-2</v>
      </c>
      <c r="O263" s="3" t="s">
        <v>239</v>
      </c>
      <c r="P263" s="1"/>
    </row>
    <row r="264" spans="2:16" ht="15.75" hidden="1" thickBot="1">
      <c r="B264" s="4" t="s">
        <v>244</v>
      </c>
      <c r="C264" s="4" t="s">
        <v>8</v>
      </c>
      <c r="D264" s="4" t="s">
        <v>18</v>
      </c>
      <c r="E264" s="4" t="s">
        <v>17</v>
      </c>
      <c r="F264" s="3">
        <v>261</v>
      </c>
      <c r="G264" s="4" t="s">
        <v>28</v>
      </c>
      <c r="H264" s="4" t="s">
        <v>14</v>
      </c>
      <c r="I264" s="4"/>
      <c r="J264" s="4" t="s">
        <v>525</v>
      </c>
      <c r="K264" s="4" t="s">
        <v>524</v>
      </c>
      <c r="L264" s="4" t="s">
        <v>242</v>
      </c>
      <c r="M264" s="4" t="s">
        <v>241</v>
      </c>
      <c r="N264" s="3">
        <v>0.111808676</v>
      </c>
      <c r="O264" s="3" t="s">
        <v>243</v>
      </c>
      <c r="P264" s="1"/>
    </row>
    <row r="265" spans="2:16" ht="15.75" hidden="1" thickBot="1">
      <c r="B265" s="4" t="s">
        <v>446</v>
      </c>
      <c r="C265" s="4" t="s">
        <v>8</v>
      </c>
      <c r="D265" s="4" t="s">
        <v>18</v>
      </c>
      <c r="E265" s="4" t="s">
        <v>17</v>
      </c>
      <c r="F265" s="3">
        <v>262</v>
      </c>
      <c r="G265" s="4" t="s">
        <v>28</v>
      </c>
      <c r="H265" s="4" t="s">
        <v>14</v>
      </c>
      <c r="I265" s="4"/>
      <c r="J265" s="4" t="s">
        <v>525</v>
      </c>
      <c r="K265" s="4" t="s">
        <v>524</v>
      </c>
      <c r="L265" s="4" t="s">
        <v>444</v>
      </c>
      <c r="M265" s="4" t="s">
        <v>443</v>
      </c>
      <c r="N265" s="3">
        <v>6.9329335000000006E-2</v>
      </c>
      <c r="O265" s="3" t="s">
        <v>526</v>
      </c>
      <c r="P265" s="1"/>
    </row>
    <row r="266" spans="2:16" ht="23.25" hidden="1" thickBot="1">
      <c r="B266" s="4" t="s">
        <v>450</v>
      </c>
      <c r="C266" s="4" t="s">
        <v>8</v>
      </c>
      <c r="D266" s="4" t="s">
        <v>18</v>
      </c>
      <c r="E266" s="4" t="s">
        <v>17</v>
      </c>
      <c r="F266" s="3">
        <v>263</v>
      </c>
      <c r="G266" s="4" t="s">
        <v>28</v>
      </c>
      <c r="H266" s="4" t="s">
        <v>14</v>
      </c>
      <c r="I266" s="4"/>
      <c r="J266" s="4" t="s">
        <v>525</v>
      </c>
      <c r="K266" s="4" t="s">
        <v>524</v>
      </c>
      <c r="L266" s="4" t="s">
        <v>448</v>
      </c>
      <c r="M266" s="4" t="s">
        <v>447</v>
      </c>
      <c r="N266" s="3">
        <v>8.9728158000000002E-2</v>
      </c>
      <c r="O266" s="3" t="s">
        <v>527</v>
      </c>
      <c r="P266" s="1"/>
    </row>
    <row r="267" spans="2:16" ht="15.75" hidden="1" thickBot="1">
      <c r="B267" s="4" t="s">
        <v>454</v>
      </c>
      <c r="C267" s="4" t="s">
        <v>8</v>
      </c>
      <c r="D267" s="4" t="s">
        <v>18</v>
      </c>
      <c r="E267" s="4" t="s">
        <v>17</v>
      </c>
      <c r="F267" s="3">
        <v>264</v>
      </c>
      <c r="G267" s="4" t="s">
        <v>28</v>
      </c>
      <c r="H267" s="4" t="s">
        <v>14</v>
      </c>
      <c r="I267" s="4"/>
      <c r="J267" s="4" t="s">
        <v>525</v>
      </c>
      <c r="K267" s="4" t="s">
        <v>524</v>
      </c>
      <c r="L267" s="4" t="s">
        <v>452</v>
      </c>
      <c r="M267" s="4" t="s">
        <v>451</v>
      </c>
      <c r="N267" s="3">
        <v>2.4991151E-2</v>
      </c>
      <c r="O267" s="3" t="s">
        <v>453</v>
      </c>
      <c r="P267" s="1"/>
    </row>
    <row r="268" spans="2:16" ht="15.75" hidden="1" thickBot="1">
      <c r="B268" s="4" t="s">
        <v>457</v>
      </c>
      <c r="C268" s="4" t="s">
        <v>8</v>
      </c>
      <c r="D268" s="4" t="s">
        <v>18</v>
      </c>
      <c r="E268" s="4" t="s">
        <v>17</v>
      </c>
      <c r="F268" s="3">
        <v>265</v>
      </c>
      <c r="G268" s="4" t="s">
        <v>44</v>
      </c>
      <c r="H268" s="4" t="s">
        <v>14</v>
      </c>
      <c r="I268" s="4"/>
      <c r="J268" s="4" t="s">
        <v>525</v>
      </c>
      <c r="K268" s="4" t="s">
        <v>524</v>
      </c>
      <c r="L268" s="4" t="s">
        <v>456</v>
      </c>
      <c r="M268" s="4" t="s">
        <v>455</v>
      </c>
      <c r="N268" s="3">
        <v>3.9508833E-2</v>
      </c>
      <c r="O268" s="3" t="s">
        <v>189</v>
      </c>
      <c r="P268" s="1"/>
    </row>
    <row r="269" spans="2:16" ht="15.75" hidden="1" thickBot="1">
      <c r="B269" s="4" t="s">
        <v>461</v>
      </c>
      <c r="C269" s="4" t="s">
        <v>8</v>
      </c>
      <c r="D269" s="4" t="s">
        <v>18</v>
      </c>
      <c r="E269" s="4" t="s">
        <v>17</v>
      </c>
      <c r="F269" s="3">
        <v>266</v>
      </c>
      <c r="G269" s="4" t="s">
        <v>28</v>
      </c>
      <c r="H269" s="4" t="s">
        <v>14</v>
      </c>
      <c r="I269" s="4"/>
      <c r="J269" s="4" t="s">
        <v>525</v>
      </c>
      <c r="K269" s="4" t="s">
        <v>524</v>
      </c>
      <c r="L269" s="4" t="s">
        <v>459</v>
      </c>
      <c r="M269" s="4" t="s">
        <v>458</v>
      </c>
      <c r="N269" s="3">
        <v>2.4717092999999999E-2</v>
      </c>
      <c r="O269" s="3" t="s">
        <v>460</v>
      </c>
      <c r="P269" s="1"/>
    </row>
    <row r="270" spans="2:16" ht="15.75" hidden="1" thickBot="1">
      <c r="B270" s="4" t="s">
        <v>465</v>
      </c>
      <c r="C270" s="4" t="s">
        <v>8</v>
      </c>
      <c r="D270" s="4" t="s">
        <v>18</v>
      </c>
      <c r="E270" s="4" t="s">
        <v>17</v>
      </c>
      <c r="F270" s="3">
        <v>267</v>
      </c>
      <c r="G270" s="4" t="s">
        <v>319</v>
      </c>
      <c r="H270" s="4" t="s">
        <v>14</v>
      </c>
      <c r="I270" s="4"/>
      <c r="J270" s="4" t="s">
        <v>525</v>
      </c>
      <c r="K270" s="4" t="s">
        <v>524</v>
      </c>
      <c r="L270" s="4" t="s">
        <v>463</v>
      </c>
      <c r="M270" s="4" t="s">
        <v>462</v>
      </c>
      <c r="N270" s="3">
        <v>4.8145369999999998E-3</v>
      </c>
      <c r="O270" s="3" t="s">
        <v>464</v>
      </c>
      <c r="P270" s="1"/>
    </row>
    <row r="271" spans="2:16" ht="15.75" hidden="1" thickBot="1">
      <c r="B271" s="4" t="s">
        <v>469</v>
      </c>
      <c r="C271" s="4" t="s">
        <v>8</v>
      </c>
      <c r="D271" s="4" t="s">
        <v>18</v>
      </c>
      <c r="E271" s="4" t="s">
        <v>17</v>
      </c>
      <c r="F271" s="3">
        <v>268</v>
      </c>
      <c r="G271" s="4" t="s">
        <v>28</v>
      </c>
      <c r="H271" s="4" t="s">
        <v>14</v>
      </c>
      <c r="I271" s="4"/>
      <c r="J271" s="4" t="s">
        <v>525</v>
      </c>
      <c r="K271" s="4" t="s">
        <v>524</v>
      </c>
      <c r="L271" s="4" t="s">
        <v>467</v>
      </c>
      <c r="M271" s="4" t="s">
        <v>466</v>
      </c>
      <c r="N271" s="3">
        <v>2.6813269999999998E-3</v>
      </c>
      <c r="O271" s="3" t="s">
        <v>468</v>
      </c>
      <c r="P271" s="1"/>
    </row>
    <row r="272" spans="2:16" ht="15.75" hidden="1" thickBot="1">
      <c r="B272" s="4" t="s">
        <v>473</v>
      </c>
      <c r="C272" s="4" t="s">
        <v>8</v>
      </c>
      <c r="D272" s="4" t="s">
        <v>18</v>
      </c>
      <c r="E272" s="4" t="s">
        <v>17</v>
      </c>
      <c r="F272" s="3">
        <v>269</v>
      </c>
      <c r="G272" s="4" t="s">
        <v>28</v>
      </c>
      <c r="H272" s="4" t="s">
        <v>14</v>
      </c>
      <c r="I272" s="4"/>
      <c r="J272" s="4" t="s">
        <v>525</v>
      </c>
      <c r="K272" s="4" t="s">
        <v>524</v>
      </c>
      <c r="L272" s="4" t="s">
        <v>471</v>
      </c>
      <c r="M272" s="4" t="s">
        <v>470</v>
      </c>
      <c r="N272" s="3">
        <v>5.1404440000000001E-3</v>
      </c>
      <c r="O272" s="3" t="s">
        <v>472</v>
      </c>
      <c r="P272" s="1"/>
    </row>
    <row r="273" spans="2:16" ht="15.75" hidden="1" thickBot="1">
      <c r="B273" s="4" t="s">
        <v>477</v>
      </c>
      <c r="C273" s="4" t="s">
        <v>8</v>
      </c>
      <c r="D273" s="4" t="s">
        <v>18</v>
      </c>
      <c r="E273" s="4" t="s">
        <v>17</v>
      </c>
      <c r="F273" s="3">
        <v>270</v>
      </c>
      <c r="G273" s="4" t="s">
        <v>28</v>
      </c>
      <c r="H273" s="4" t="s">
        <v>14</v>
      </c>
      <c r="I273" s="4"/>
      <c r="J273" s="4" t="s">
        <v>525</v>
      </c>
      <c r="K273" s="4" t="s">
        <v>524</v>
      </c>
      <c r="L273" s="4" t="s">
        <v>475</v>
      </c>
      <c r="M273" s="4" t="s">
        <v>474</v>
      </c>
      <c r="N273" s="3">
        <v>2.6665130000000001E-3</v>
      </c>
      <c r="O273" s="3" t="s">
        <v>476</v>
      </c>
      <c r="P273" s="1"/>
    </row>
    <row r="274" spans="2:16" ht="15.75" hidden="1" thickBot="1">
      <c r="B274" s="4" t="s">
        <v>481</v>
      </c>
      <c r="C274" s="4" t="s">
        <v>8</v>
      </c>
      <c r="D274" s="4" t="s">
        <v>18</v>
      </c>
      <c r="E274" s="4" t="s">
        <v>17</v>
      </c>
      <c r="F274" s="3">
        <v>271</v>
      </c>
      <c r="G274" s="4" t="s">
        <v>44</v>
      </c>
      <c r="H274" s="4" t="s">
        <v>14</v>
      </c>
      <c r="I274" s="4"/>
      <c r="J274" s="4" t="s">
        <v>525</v>
      </c>
      <c r="K274" s="4" t="s">
        <v>524</v>
      </c>
      <c r="L274" s="4" t="s">
        <v>479</v>
      </c>
      <c r="M274" s="4" t="s">
        <v>478</v>
      </c>
      <c r="N274" s="3">
        <v>3.7862631000000001E-2</v>
      </c>
      <c r="O274" s="3" t="s">
        <v>480</v>
      </c>
      <c r="P274" s="1"/>
    </row>
    <row r="275" spans="2:16" ht="15.75" hidden="1" thickBot="1">
      <c r="B275" s="4" t="s">
        <v>485</v>
      </c>
      <c r="C275" s="4" t="s">
        <v>8</v>
      </c>
      <c r="D275" s="4" t="s">
        <v>18</v>
      </c>
      <c r="E275" s="4" t="s">
        <v>17</v>
      </c>
      <c r="F275" s="3">
        <v>272</v>
      </c>
      <c r="G275" s="4" t="s">
        <v>114</v>
      </c>
      <c r="H275" s="4" t="s">
        <v>14</v>
      </c>
      <c r="I275" s="4"/>
      <c r="J275" s="4" t="s">
        <v>525</v>
      </c>
      <c r="K275" s="4" t="s">
        <v>524</v>
      </c>
      <c r="L275" s="4" t="s">
        <v>483</v>
      </c>
      <c r="M275" s="4" t="s">
        <v>482</v>
      </c>
      <c r="N275" s="3">
        <v>5.5981955999999999E-2</v>
      </c>
      <c r="O275" s="3" t="s">
        <v>528</v>
      </c>
      <c r="P275" s="1"/>
    </row>
    <row r="276" spans="2:16" ht="15.75" hidden="1" thickBot="1">
      <c r="B276" s="4" t="s">
        <v>489</v>
      </c>
      <c r="C276" s="4" t="s">
        <v>8</v>
      </c>
      <c r="D276" s="4" t="s">
        <v>18</v>
      </c>
      <c r="E276" s="4" t="s">
        <v>17</v>
      </c>
      <c r="F276" s="3">
        <v>273</v>
      </c>
      <c r="G276" s="4" t="s">
        <v>44</v>
      </c>
      <c r="H276" s="4" t="s">
        <v>14</v>
      </c>
      <c r="I276" s="4"/>
      <c r="J276" s="4" t="s">
        <v>525</v>
      </c>
      <c r="K276" s="4" t="s">
        <v>524</v>
      </c>
      <c r="L276" s="4" t="s">
        <v>487</v>
      </c>
      <c r="M276" s="4" t="s">
        <v>486</v>
      </c>
      <c r="N276" s="3">
        <v>7.5764116000000006E-2</v>
      </c>
      <c r="O276" s="3" t="s">
        <v>488</v>
      </c>
      <c r="P276" s="1"/>
    </row>
    <row r="277" spans="2:16" ht="15.75" hidden="1" thickBot="1">
      <c r="B277" s="4" t="s">
        <v>493</v>
      </c>
      <c r="C277" s="4" t="s">
        <v>8</v>
      </c>
      <c r="D277" s="4" t="s">
        <v>18</v>
      </c>
      <c r="E277" s="4" t="s">
        <v>17</v>
      </c>
      <c r="F277" s="3">
        <v>274</v>
      </c>
      <c r="G277" s="4" t="s">
        <v>114</v>
      </c>
      <c r="H277" s="4" t="s">
        <v>14</v>
      </c>
      <c r="I277" s="4"/>
      <c r="J277" s="4" t="s">
        <v>525</v>
      </c>
      <c r="K277" s="4" t="s">
        <v>524</v>
      </c>
      <c r="L277" s="4" t="s">
        <v>491</v>
      </c>
      <c r="M277" s="4" t="s">
        <v>490</v>
      </c>
      <c r="N277" s="3">
        <v>0.100216442</v>
      </c>
      <c r="O277" s="3" t="s">
        <v>492</v>
      </c>
      <c r="P277" s="1"/>
    </row>
    <row r="278" spans="2:16" ht="15.75" hidden="1" thickBot="1">
      <c r="B278" s="4" t="s">
        <v>497</v>
      </c>
      <c r="C278" s="4" t="s">
        <v>8</v>
      </c>
      <c r="D278" s="4" t="s">
        <v>18</v>
      </c>
      <c r="E278" s="4" t="s">
        <v>17</v>
      </c>
      <c r="F278" s="3">
        <v>275</v>
      </c>
      <c r="G278" s="4" t="s">
        <v>114</v>
      </c>
      <c r="H278" s="4" t="s">
        <v>14</v>
      </c>
      <c r="I278" s="4"/>
      <c r="J278" s="4" t="s">
        <v>525</v>
      </c>
      <c r="K278" s="4" t="s">
        <v>524</v>
      </c>
      <c r="L278" s="4" t="s">
        <v>495</v>
      </c>
      <c r="M278" s="4" t="s">
        <v>494</v>
      </c>
      <c r="N278" s="3">
        <v>7.3372838999999995E-2</v>
      </c>
      <c r="O278" s="3" t="s">
        <v>496</v>
      </c>
      <c r="P278" s="1"/>
    </row>
    <row r="279" spans="2:16" ht="15.75" hidden="1" thickBot="1">
      <c r="B279" s="4" t="s">
        <v>269</v>
      </c>
      <c r="C279" s="4" t="s">
        <v>8</v>
      </c>
      <c r="D279" s="4" t="s">
        <v>18</v>
      </c>
      <c r="E279" s="4" t="s">
        <v>17</v>
      </c>
      <c r="F279" s="3">
        <v>276</v>
      </c>
      <c r="G279" s="4" t="s">
        <v>13</v>
      </c>
      <c r="H279" s="4" t="s">
        <v>14</v>
      </c>
      <c r="I279" s="4"/>
      <c r="J279" s="4" t="s">
        <v>525</v>
      </c>
      <c r="K279" s="4" t="s">
        <v>524</v>
      </c>
      <c r="L279" s="4" t="s">
        <v>267</v>
      </c>
      <c r="M279" s="4" t="s">
        <v>266</v>
      </c>
      <c r="N279" s="3">
        <v>2.1140611850000002</v>
      </c>
      <c r="O279" s="3" t="s">
        <v>268</v>
      </c>
      <c r="P279" s="1"/>
    </row>
    <row r="280" spans="2:16" ht="15.75" hidden="1" thickBot="1">
      <c r="B280" s="4" t="s">
        <v>501</v>
      </c>
      <c r="C280" s="4" t="s">
        <v>8</v>
      </c>
      <c r="D280" s="4" t="s">
        <v>18</v>
      </c>
      <c r="E280" s="4" t="s">
        <v>17</v>
      </c>
      <c r="F280" s="3">
        <v>277</v>
      </c>
      <c r="G280" s="4" t="s">
        <v>28</v>
      </c>
      <c r="H280" s="4" t="s">
        <v>14</v>
      </c>
      <c r="I280" s="4"/>
      <c r="J280" s="4" t="s">
        <v>525</v>
      </c>
      <c r="K280" s="4" t="s">
        <v>524</v>
      </c>
      <c r="L280" s="4" t="s">
        <v>499</v>
      </c>
      <c r="M280" s="4" t="s">
        <v>498</v>
      </c>
      <c r="N280" s="3">
        <v>0.176288537</v>
      </c>
      <c r="O280" s="3" t="s">
        <v>529</v>
      </c>
      <c r="P280" s="1"/>
    </row>
    <row r="281" spans="2:16" ht="15.75" hidden="1" thickBot="1">
      <c r="B281" s="4" t="s">
        <v>505</v>
      </c>
      <c r="C281" s="4" t="s">
        <v>8</v>
      </c>
      <c r="D281" s="4" t="s">
        <v>18</v>
      </c>
      <c r="E281" s="4" t="s">
        <v>17</v>
      </c>
      <c r="F281" s="3">
        <v>278</v>
      </c>
      <c r="G281" s="4" t="s">
        <v>67</v>
      </c>
      <c r="H281" s="4" t="s">
        <v>14</v>
      </c>
      <c r="I281" s="4"/>
      <c r="J281" s="4" t="s">
        <v>525</v>
      </c>
      <c r="K281" s="4" t="s">
        <v>524</v>
      </c>
      <c r="L281" s="4" t="s">
        <v>503</v>
      </c>
      <c r="M281" s="4" t="s">
        <v>502</v>
      </c>
      <c r="N281" s="3">
        <v>8.9757786000000006E-2</v>
      </c>
      <c r="O281" s="3" t="s">
        <v>530</v>
      </c>
      <c r="P281" s="1"/>
    </row>
    <row r="282" spans="2:16" ht="15.75" hidden="1" thickBo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>
        <v>829.73900000100002</v>
      </c>
      <c r="O282" s="2" t="s">
        <v>531</v>
      </c>
      <c r="P282" s="1"/>
    </row>
  </sheetData>
  <autoFilter ref="F3:O282">
    <filterColumn colId="3"/>
    <filterColumn colId="4"/>
    <filterColumn colId="6"/>
    <filterColumn colId="7">
      <customFilters>
        <customFilter val="*ряж*"/>
      </customFilters>
    </filterColumn>
    <filterColumn colId="8"/>
  </autoFilter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H8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38" sqref="H38:H64"/>
    </sheetView>
  </sheetViews>
  <sheetFormatPr defaultRowHeight="15"/>
  <cols>
    <col min="1" max="1" width="2.7109375" bestFit="1" customWidth="1"/>
    <col min="2" max="2" width="11.5703125" bestFit="1" customWidth="1"/>
    <col min="3" max="3" width="43.85546875" bestFit="1" customWidth="1"/>
    <col min="4" max="4" width="12.5703125" customWidth="1"/>
    <col min="5" max="5" width="43.7109375" bestFit="1" customWidth="1"/>
    <col min="6" max="6" width="15.5703125" bestFit="1" customWidth="1"/>
    <col min="7" max="7" width="14.5703125" bestFit="1" customWidth="1"/>
  </cols>
  <sheetData>
    <row r="1" spans="1:8" ht="15.75" thickBot="1">
      <c r="A1" s="1"/>
      <c r="B1" s="1"/>
      <c r="C1" s="1"/>
      <c r="D1" s="1"/>
      <c r="E1" s="1"/>
      <c r="F1" s="1">
        <f>SUM(F4:F88)</f>
        <v>829.73900000000026</v>
      </c>
      <c r="G1" s="1"/>
    </row>
    <row r="2" spans="1:8" ht="15.75" thickBot="1">
      <c r="A2" s="2" t="s">
        <v>0</v>
      </c>
      <c r="B2" s="2" t="s">
        <v>4</v>
      </c>
      <c r="C2" s="2" t="s">
        <v>532</v>
      </c>
      <c r="D2" s="2" t="s">
        <v>534</v>
      </c>
      <c r="E2" s="2" t="s">
        <v>8</v>
      </c>
      <c r="F2" s="2" t="s">
        <v>533</v>
      </c>
      <c r="G2" s="2" t="s">
        <v>535</v>
      </c>
      <c r="H2" s="1"/>
    </row>
    <row r="3" spans="1:8" ht="15.75" thickBot="1">
      <c r="A3" s="2"/>
      <c r="B3" s="2"/>
      <c r="C3" s="2"/>
      <c r="D3" s="2"/>
      <c r="E3" s="2"/>
      <c r="F3" s="2"/>
      <c r="G3" s="2"/>
      <c r="H3" s="1"/>
    </row>
    <row r="4" spans="1:8" ht="15.75" hidden="1" thickBot="1">
      <c r="A4" s="3">
        <v>1</v>
      </c>
      <c r="B4" s="4" t="s">
        <v>152</v>
      </c>
      <c r="C4" s="4" t="s">
        <v>151</v>
      </c>
      <c r="D4" s="4" t="s">
        <v>537</v>
      </c>
      <c r="E4" s="4" t="s">
        <v>536</v>
      </c>
      <c r="F4" s="3">
        <v>280.55900000000003</v>
      </c>
      <c r="G4" s="3" t="s">
        <v>538</v>
      </c>
      <c r="H4" s="1"/>
    </row>
    <row r="5" spans="1:8" ht="15.75" hidden="1" thickBot="1">
      <c r="A5" s="3">
        <v>2</v>
      </c>
      <c r="B5" s="4" t="s">
        <v>235</v>
      </c>
      <c r="C5" s="4" t="s">
        <v>234</v>
      </c>
      <c r="D5" s="4" t="s">
        <v>537</v>
      </c>
      <c r="E5" s="4" t="s">
        <v>536</v>
      </c>
      <c r="F5" s="3">
        <v>3.8380000000000001</v>
      </c>
      <c r="G5" s="3" t="s">
        <v>539</v>
      </c>
      <c r="H5" s="1"/>
    </row>
    <row r="6" spans="1:8" ht="15.75" hidden="1" thickBot="1">
      <c r="A6" s="3">
        <v>3</v>
      </c>
      <c r="B6" s="4" t="s">
        <v>521</v>
      </c>
      <c r="C6" s="4" t="s">
        <v>520</v>
      </c>
      <c r="D6" s="4" t="s">
        <v>537</v>
      </c>
      <c r="E6" s="4" t="s">
        <v>536</v>
      </c>
      <c r="F6" s="3">
        <v>5.2190000000000003</v>
      </c>
      <c r="G6" s="3" t="s">
        <v>539</v>
      </c>
      <c r="H6" s="1"/>
    </row>
    <row r="7" spans="1:8" ht="15.75" hidden="1" thickBot="1">
      <c r="A7" s="3">
        <v>4</v>
      </c>
      <c r="B7" s="4" t="s">
        <v>235</v>
      </c>
      <c r="C7" s="4" t="s">
        <v>234</v>
      </c>
      <c r="D7" s="4" t="s">
        <v>541</v>
      </c>
      <c r="E7" s="4" t="s">
        <v>540</v>
      </c>
      <c r="F7" s="3">
        <v>0.107</v>
      </c>
      <c r="G7" s="3" t="s">
        <v>542</v>
      </c>
      <c r="H7" s="1"/>
    </row>
    <row r="8" spans="1:8" ht="15.75" hidden="1" thickBot="1">
      <c r="A8" s="3">
        <v>5</v>
      </c>
      <c r="B8" s="4" t="s">
        <v>296</v>
      </c>
      <c r="C8" s="4" t="s">
        <v>295</v>
      </c>
      <c r="D8" s="4" t="s">
        <v>541</v>
      </c>
      <c r="E8" s="4" t="s">
        <v>540</v>
      </c>
      <c r="F8" s="3">
        <v>5.8000000000000003E-2</v>
      </c>
      <c r="G8" s="3" t="s">
        <v>542</v>
      </c>
      <c r="H8" s="1"/>
    </row>
    <row r="9" spans="1:8" ht="15.75" hidden="1" thickBot="1">
      <c r="A9" s="3">
        <v>6</v>
      </c>
      <c r="B9" s="4" t="s">
        <v>507</v>
      </c>
      <c r="C9" s="4" t="s">
        <v>506</v>
      </c>
      <c r="D9" s="4" t="s">
        <v>541</v>
      </c>
      <c r="E9" s="4" t="s">
        <v>540</v>
      </c>
      <c r="F9" s="3">
        <v>0.625</v>
      </c>
      <c r="G9" s="3" t="s">
        <v>542</v>
      </c>
      <c r="H9" s="1"/>
    </row>
    <row r="10" spans="1:8" ht="34.5" hidden="1" thickBot="1">
      <c r="A10" s="3">
        <v>7</v>
      </c>
      <c r="B10" s="4" t="s">
        <v>127</v>
      </c>
      <c r="C10" s="4" t="s">
        <v>126</v>
      </c>
      <c r="D10" s="4" t="s">
        <v>544</v>
      </c>
      <c r="E10" s="4" t="s">
        <v>543</v>
      </c>
      <c r="F10" s="3">
        <v>1.5</v>
      </c>
      <c r="G10" s="3" t="s">
        <v>545</v>
      </c>
      <c r="H10" s="1"/>
    </row>
    <row r="11" spans="1:8" ht="15.75" hidden="1" thickBot="1">
      <c r="A11" s="3">
        <v>8</v>
      </c>
      <c r="B11" s="4" t="s">
        <v>521</v>
      </c>
      <c r="C11" s="4" t="s">
        <v>520</v>
      </c>
      <c r="D11" s="4" t="s">
        <v>544</v>
      </c>
      <c r="E11" s="4" t="s">
        <v>543</v>
      </c>
      <c r="F11" s="3">
        <v>0.53900000000000003</v>
      </c>
      <c r="G11" s="3" t="s">
        <v>546</v>
      </c>
      <c r="H11" s="1"/>
    </row>
    <row r="12" spans="1:8" ht="15.75" hidden="1" thickBot="1">
      <c r="A12" s="3">
        <v>9</v>
      </c>
      <c r="B12" s="4" t="s">
        <v>152</v>
      </c>
      <c r="C12" s="4" t="s">
        <v>151</v>
      </c>
      <c r="D12" s="4" t="s">
        <v>548</v>
      </c>
      <c r="E12" s="4" t="s">
        <v>547</v>
      </c>
      <c r="F12" s="3">
        <v>135.721</v>
      </c>
      <c r="G12" s="3" t="s">
        <v>549</v>
      </c>
      <c r="H12" s="1"/>
    </row>
    <row r="13" spans="1:8" ht="15.75" hidden="1" thickBot="1">
      <c r="A13" s="3">
        <v>10</v>
      </c>
      <c r="B13" s="4" t="s">
        <v>235</v>
      </c>
      <c r="C13" s="4" t="s">
        <v>234</v>
      </c>
      <c r="D13" s="4" t="s">
        <v>548</v>
      </c>
      <c r="E13" s="4" t="s">
        <v>547</v>
      </c>
      <c r="F13" s="3">
        <v>1.0229999999999999</v>
      </c>
      <c r="G13" s="3" t="s">
        <v>550</v>
      </c>
      <c r="H13" s="1"/>
    </row>
    <row r="14" spans="1:8" ht="15.75" hidden="1" thickBot="1">
      <c r="A14" s="3">
        <v>11</v>
      </c>
      <c r="B14" s="4" t="s">
        <v>521</v>
      </c>
      <c r="C14" s="4" t="s">
        <v>520</v>
      </c>
      <c r="D14" s="4" t="s">
        <v>548</v>
      </c>
      <c r="E14" s="4" t="s">
        <v>547</v>
      </c>
      <c r="F14" s="3">
        <v>1.3839999999999999</v>
      </c>
      <c r="G14" s="3" t="s">
        <v>550</v>
      </c>
      <c r="H14" s="1"/>
    </row>
    <row r="15" spans="1:8" ht="15.75" hidden="1" thickBot="1">
      <c r="A15" s="3">
        <v>12</v>
      </c>
      <c r="B15" s="4" t="s">
        <v>235</v>
      </c>
      <c r="C15" s="4" t="s">
        <v>234</v>
      </c>
      <c r="D15" s="4" t="s">
        <v>552</v>
      </c>
      <c r="E15" s="4" t="s">
        <v>551</v>
      </c>
      <c r="F15" s="3">
        <v>6.9000000000000006E-2</v>
      </c>
      <c r="G15" s="3" t="s">
        <v>553</v>
      </c>
      <c r="H15" s="1"/>
    </row>
    <row r="16" spans="1:8" ht="15.75" hidden="1" thickBot="1">
      <c r="A16" s="3">
        <v>13</v>
      </c>
      <c r="B16" s="4" t="s">
        <v>296</v>
      </c>
      <c r="C16" s="4" t="s">
        <v>295</v>
      </c>
      <c r="D16" s="4" t="s">
        <v>552</v>
      </c>
      <c r="E16" s="4" t="s">
        <v>551</v>
      </c>
      <c r="F16" s="3">
        <v>3.7999999999999999E-2</v>
      </c>
      <c r="G16" s="3" t="s">
        <v>553</v>
      </c>
      <c r="H16" s="1"/>
    </row>
    <row r="17" spans="1:8" ht="15.75" hidden="1" thickBot="1">
      <c r="A17" s="3">
        <v>14</v>
      </c>
      <c r="B17" s="4" t="s">
        <v>507</v>
      </c>
      <c r="C17" s="4" t="s">
        <v>506</v>
      </c>
      <c r="D17" s="4" t="s">
        <v>552</v>
      </c>
      <c r="E17" s="4" t="s">
        <v>551</v>
      </c>
      <c r="F17" s="3">
        <v>0.40300000000000002</v>
      </c>
      <c r="G17" s="3" t="s">
        <v>553</v>
      </c>
      <c r="H17" s="1"/>
    </row>
    <row r="18" spans="1:8" ht="15.75" hidden="1" thickBot="1">
      <c r="A18" s="3">
        <v>15</v>
      </c>
      <c r="B18" s="4" t="s">
        <v>235</v>
      </c>
      <c r="C18" s="4" t="s">
        <v>234</v>
      </c>
      <c r="D18" s="4" t="s">
        <v>555</v>
      </c>
      <c r="E18" s="4" t="s">
        <v>554</v>
      </c>
      <c r="F18" s="3">
        <v>7.0999999999999994E-2</v>
      </c>
      <c r="G18" s="3" t="s">
        <v>556</v>
      </c>
      <c r="H18" s="1"/>
    </row>
    <row r="19" spans="1:8" ht="15.75" hidden="1" thickBot="1">
      <c r="A19" s="3">
        <v>16</v>
      </c>
      <c r="B19" s="4" t="s">
        <v>296</v>
      </c>
      <c r="C19" s="4" t="s">
        <v>295</v>
      </c>
      <c r="D19" s="4" t="s">
        <v>555</v>
      </c>
      <c r="E19" s="4" t="s">
        <v>554</v>
      </c>
      <c r="F19" s="3">
        <v>3.9E-2</v>
      </c>
      <c r="G19" s="3" t="s">
        <v>556</v>
      </c>
      <c r="H19" s="1"/>
    </row>
    <row r="20" spans="1:8" ht="15.75" hidden="1" thickBot="1">
      <c r="A20" s="3">
        <v>17</v>
      </c>
      <c r="B20" s="4" t="s">
        <v>507</v>
      </c>
      <c r="C20" s="4" t="s">
        <v>506</v>
      </c>
      <c r="D20" s="4" t="s">
        <v>555</v>
      </c>
      <c r="E20" s="4" t="s">
        <v>554</v>
      </c>
      <c r="F20" s="3">
        <v>0.41599999999999998</v>
      </c>
      <c r="G20" s="3" t="s">
        <v>556</v>
      </c>
      <c r="H20" s="1"/>
    </row>
    <row r="21" spans="1:8" ht="15.75" hidden="1" thickBot="1">
      <c r="A21" s="3">
        <v>18</v>
      </c>
      <c r="B21" s="4" t="s">
        <v>442</v>
      </c>
      <c r="C21" s="4" t="s">
        <v>441</v>
      </c>
      <c r="D21" s="4" t="s">
        <v>558</v>
      </c>
      <c r="E21" s="4" t="s">
        <v>557</v>
      </c>
      <c r="F21" s="3">
        <v>2.0880000000000001</v>
      </c>
      <c r="G21" s="3" t="s">
        <v>559</v>
      </c>
      <c r="H21" s="1"/>
    </row>
    <row r="22" spans="1:8" ht="15.75" hidden="1" thickBot="1">
      <c r="A22" s="3">
        <v>19</v>
      </c>
      <c r="B22" s="4" t="s">
        <v>507</v>
      </c>
      <c r="C22" s="4" t="s">
        <v>506</v>
      </c>
      <c r="D22" s="4" t="s">
        <v>558</v>
      </c>
      <c r="E22" s="4" t="s">
        <v>557</v>
      </c>
      <c r="F22" s="3">
        <v>31.96</v>
      </c>
      <c r="G22" s="3" t="s">
        <v>559</v>
      </c>
      <c r="H22" s="1"/>
    </row>
    <row r="23" spans="1:8" ht="23.25" hidden="1" thickBot="1">
      <c r="A23" s="3">
        <v>20</v>
      </c>
      <c r="B23" s="4" t="s">
        <v>525</v>
      </c>
      <c r="C23" s="4" t="s">
        <v>524</v>
      </c>
      <c r="D23" s="4" t="s">
        <v>558</v>
      </c>
      <c r="E23" s="4" t="s">
        <v>557</v>
      </c>
      <c r="F23" s="3">
        <v>1.2969999999999999</v>
      </c>
      <c r="G23" s="3" t="s">
        <v>560</v>
      </c>
      <c r="H23" s="1"/>
    </row>
    <row r="24" spans="1:8" ht="15.75" hidden="1" thickBot="1">
      <c r="A24" s="3">
        <v>21</v>
      </c>
      <c r="B24" s="4" t="s">
        <v>442</v>
      </c>
      <c r="C24" s="4" t="s">
        <v>441</v>
      </c>
      <c r="D24" s="4" t="s">
        <v>562</v>
      </c>
      <c r="E24" s="4" t="s">
        <v>561</v>
      </c>
      <c r="F24" s="3">
        <v>7.3999999999999996E-2</v>
      </c>
      <c r="G24" s="3" t="s">
        <v>563</v>
      </c>
      <c r="H24" s="1"/>
    </row>
    <row r="25" spans="1:8" ht="15.75" hidden="1" thickBot="1">
      <c r="A25" s="3">
        <v>22</v>
      </c>
      <c r="B25" s="4" t="s">
        <v>507</v>
      </c>
      <c r="C25" s="4" t="s">
        <v>506</v>
      </c>
      <c r="D25" s="4" t="s">
        <v>562</v>
      </c>
      <c r="E25" s="4" t="s">
        <v>561</v>
      </c>
      <c r="F25" s="3">
        <v>1.23</v>
      </c>
      <c r="G25" s="3" t="s">
        <v>563</v>
      </c>
      <c r="H25" s="1"/>
    </row>
    <row r="26" spans="1:8" ht="23.25" hidden="1" thickBot="1">
      <c r="A26" s="3">
        <v>23</v>
      </c>
      <c r="B26" s="4" t="s">
        <v>62</v>
      </c>
      <c r="C26" s="4" t="s">
        <v>61</v>
      </c>
      <c r="D26" s="4" t="s">
        <v>565</v>
      </c>
      <c r="E26" s="4" t="s">
        <v>564</v>
      </c>
      <c r="F26" s="3">
        <v>1.4590000000000001</v>
      </c>
      <c r="G26" s="3" t="s">
        <v>566</v>
      </c>
      <c r="H26" s="1"/>
    </row>
    <row r="27" spans="1:8" ht="15.75" hidden="1" thickBot="1">
      <c r="A27" s="3">
        <v>24</v>
      </c>
      <c r="B27" s="4" t="s">
        <v>507</v>
      </c>
      <c r="C27" s="4" t="s">
        <v>506</v>
      </c>
      <c r="D27" s="4" t="s">
        <v>565</v>
      </c>
      <c r="E27" s="4" t="s">
        <v>564</v>
      </c>
      <c r="F27" s="3">
        <v>40.628</v>
      </c>
      <c r="G27" s="3" t="s">
        <v>566</v>
      </c>
      <c r="H27" s="1"/>
    </row>
    <row r="28" spans="1:8" ht="15.75" hidden="1" thickBot="1">
      <c r="A28" s="3">
        <v>25</v>
      </c>
      <c r="B28" s="4" t="s">
        <v>521</v>
      </c>
      <c r="C28" s="4" t="s">
        <v>520</v>
      </c>
      <c r="D28" s="4" t="s">
        <v>565</v>
      </c>
      <c r="E28" s="4" t="s">
        <v>564</v>
      </c>
      <c r="F28" s="3">
        <v>0.93400000000000005</v>
      </c>
      <c r="G28" s="3" t="s">
        <v>566</v>
      </c>
      <c r="H28" s="1"/>
    </row>
    <row r="29" spans="1:8" ht="34.5" hidden="1" thickBot="1">
      <c r="A29" s="3">
        <v>26</v>
      </c>
      <c r="B29" s="4" t="s">
        <v>127</v>
      </c>
      <c r="C29" s="4" t="s">
        <v>126</v>
      </c>
      <c r="D29" s="4" t="s">
        <v>568</v>
      </c>
      <c r="E29" s="4" t="s">
        <v>567</v>
      </c>
      <c r="F29" s="3">
        <v>4.4710000000000001</v>
      </c>
      <c r="G29" s="3" t="s">
        <v>569</v>
      </c>
      <c r="H29" s="1"/>
    </row>
    <row r="30" spans="1:8" ht="15.75" hidden="1" thickBot="1">
      <c r="A30" s="3">
        <v>27</v>
      </c>
      <c r="B30" s="4" t="s">
        <v>521</v>
      </c>
      <c r="C30" s="4" t="s">
        <v>520</v>
      </c>
      <c r="D30" s="4" t="s">
        <v>568</v>
      </c>
      <c r="E30" s="4" t="s">
        <v>567</v>
      </c>
      <c r="F30" s="3">
        <v>1.573</v>
      </c>
      <c r="G30" s="3" t="s">
        <v>570</v>
      </c>
      <c r="H30" s="1"/>
    </row>
    <row r="31" spans="1:8" ht="15.75" hidden="1" thickBot="1">
      <c r="A31" s="3">
        <v>28</v>
      </c>
      <c r="B31" s="4" t="s">
        <v>442</v>
      </c>
      <c r="C31" s="4" t="s">
        <v>441</v>
      </c>
      <c r="D31" s="4" t="s">
        <v>572</v>
      </c>
      <c r="E31" s="4" t="s">
        <v>571</v>
      </c>
      <c r="F31" s="3">
        <v>4.9000000000000002E-2</v>
      </c>
      <c r="G31" s="3" t="s">
        <v>573</v>
      </c>
      <c r="H31" s="1"/>
    </row>
    <row r="32" spans="1:8" ht="15.75" hidden="1" thickBot="1">
      <c r="A32" s="3">
        <v>29</v>
      </c>
      <c r="B32" s="4" t="s">
        <v>507</v>
      </c>
      <c r="C32" s="4" t="s">
        <v>506</v>
      </c>
      <c r="D32" s="4" t="s">
        <v>572</v>
      </c>
      <c r="E32" s="4" t="s">
        <v>571</v>
      </c>
      <c r="F32" s="3">
        <v>0.81</v>
      </c>
      <c r="G32" s="3" t="s">
        <v>573</v>
      </c>
      <c r="H32" s="1"/>
    </row>
    <row r="33" spans="1:8" ht="23.25" hidden="1" thickBot="1">
      <c r="A33" s="3">
        <v>30</v>
      </c>
      <c r="B33" s="4" t="s">
        <v>525</v>
      </c>
      <c r="C33" s="4" t="s">
        <v>524</v>
      </c>
      <c r="D33" s="4" t="s">
        <v>572</v>
      </c>
      <c r="E33" s="4" t="s">
        <v>571</v>
      </c>
      <c r="F33" s="3">
        <v>3.4000000000000002E-2</v>
      </c>
      <c r="G33" s="3" t="s">
        <v>573</v>
      </c>
      <c r="H33" s="1"/>
    </row>
    <row r="34" spans="1:8" ht="15.75" hidden="1" thickBot="1">
      <c r="A34" s="3">
        <v>31</v>
      </c>
      <c r="B34" s="4" t="s">
        <v>235</v>
      </c>
      <c r="C34" s="4" t="s">
        <v>234</v>
      </c>
      <c r="D34" s="4" t="s">
        <v>575</v>
      </c>
      <c r="E34" s="4" t="s">
        <v>574</v>
      </c>
      <c r="F34" s="3">
        <v>7.0000000000000007E-2</v>
      </c>
      <c r="G34" s="3" t="s">
        <v>576</v>
      </c>
      <c r="H34" s="1"/>
    </row>
    <row r="35" spans="1:8" ht="23.25" hidden="1" thickBot="1">
      <c r="A35" s="3">
        <v>32</v>
      </c>
      <c r="B35" s="4" t="s">
        <v>525</v>
      </c>
      <c r="C35" s="4" t="s">
        <v>524</v>
      </c>
      <c r="D35" s="4" t="s">
        <v>575</v>
      </c>
      <c r="E35" s="4" t="s">
        <v>574</v>
      </c>
      <c r="F35" s="3">
        <v>0.08</v>
      </c>
      <c r="G35" s="3" t="s">
        <v>576</v>
      </c>
      <c r="H35" s="1"/>
    </row>
    <row r="36" spans="1:8" ht="15.75" hidden="1" thickBot="1">
      <c r="A36" s="3">
        <v>33</v>
      </c>
      <c r="B36" s="4" t="s">
        <v>235</v>
      </c>
      <c r="C36" s="4" t="s">
        <v>234</v>
      </c>
      <c r="D36" s="4" t="s">
        <v>578</v>
      </c>
      <c r="E36" s="4" t="s">
        <v>577</v>
      </c>
      <c r="F36" s="3">
        <v>1.54</v>
      </c>
      <c r="G36" s="3" t="s">
        <v>579</v>
      </c>
      <c r="H36" s="1"/>
    </row>
    <row r="37" spans="1:8" ht="23.25" hidden="1" thickBot="1">
      <c r="A37" s="3">
        <v>34</v>
      </c>
      <c r="B37" s="4" t="s">
        <v>525</v>
      </c>
      <c r="C37" s="4" t="s">
        <v>524</v>
      </c>
      <c r="D37" s="4" t="s">
        <v>578</v>
      </c>
      <c r="E37" s="4" t="s">
        <v>577</v>
      </c>
      <c r="F37" s="3">
        <v>1.67</v>
      </c>
      <c r="G37" s="3" t="s">
        <v>580</v>
      </c>
      <c r="H37" s="1"/>
    </row>
    <row r="38" spans="1:8" ht="15.75" thickBot="1">
      <c r="A38" s="3">
        <v>35</v>
      </c>
      <c r="B38" s="4" t="s">
        <v>16</v>
      </c>
      <c r="C38" s="4" t="s">
        <v>15</v>
      </c>
      <c r="D38" s="4" t="s">
        <v>582</v>
      </c>
      <c r="E38" s="4" t="s">
        <v>581</v>
      </c>
      <c r="F38" s="3">
        <v>0.97899999999999998</v>
      </c>
      <c r="G38" s="3">
        <v>42370</v>
      </c>
      <c r="H38" s="1">
        <f>G38</f>
        <v>42370</v>
      </c>
    </row>
    <row r="39" spans="1:8" ht="15.75" thickBot="1">
      <c r="A39" s="3">
        <v>36</v>
      </c>
      <c r="B39" s="4" t="s">
        <v>150</v>
      </c>
      <c r="C39" s="4" t="s">
        <v>149</v>
      </c>
      <c r="D39" s="4" t="s">
        <v>582</v>
      </c>
      <c r="E39" s="4" t="s">
        <v>581</v>
      </c>
      <c r="F39" s="3">
        <v>0.52</v>
      </c>
      <c r="G39" s="3">
        <v>42370</v>
      </c>
      <c r="H39" s="1"/>
    </row>
    <row r="40" spans="1:8" ht="15.75" hidden="1" thickBot="1">
      <c r="A40" s="3">
        <v>37</v>
      </c>
      <c r="B40" s="4" t="s">
        <v>235</v>
      </c>
      <c r="C40" s="4" t="s">
        <v>234</v>
      </c>
      <c r="D40" s="4" t="s">
        <v>584</v>
      </c>
      <c r="E40" s="4" t="s">
        <v>583</v>
      </c>
      <c r="F40" s="3">
        <v>4.9000000000000002E-2</v>
      </c>
      <c r="G40" s="3" t="s">
        <v>585</v>
      </c>
      <c r="H40" s="1"/>
    </row>
    <row r="41" spans="1:8" ht="23.25" hidden="1" thickBot="1">
      <c r="A41" s="3">
        <v>38</v>
      </c>
      <c r="B41" s="4" t="s">
        <v>525</v>
      </c>
      <c r="C41" s="4" t="s">
        <v>524</v>
      </c>
      <c r="D41" s="4" t="s">
        <v>584</v>
      </c>
      <c r="E41" s="4" t="s">
        <v>583</v>
      </c>
      <c r="F41" s="3">
        <v>5.3999999999999999E-2</v>
      </c>
      <c r="G41" s="3" t="s">
        <v>585</v>
      </c>
      <c r="H41" s="1"/>
    </row>
    <row r="42" spans="1:8" ht="15.75" hidden="1" thickBot="1">
      <c r="A42" s="3">
        <v>39</v>
      </c>
      <c r="B42" s="4" t="s">
        <v>235</v>
      </c>
      <c r="C42" s="4" t="s">
        <v>234</v>
      </c>
      <c r="D42" s="4" t="s">
        <v>587</v>
      </c>
      <c r="E42" s="4" t="s">
        <v>586</v>
      </c>
      <c r="F42" s="3">
        <v>3.355</v>
      </c>
      <c r="G42" s="3" t="s">
        <v>588</v>
      </c>
      <c r="H42" s="1"/>
    </row>
    <row r="43" spans="1:8" ht="15.75" hidden="1" thickBot="1">
      <c r="A43" s="3">
        <v>40</v>
      </c>
      <c r="B43" s="4" t="s">
        <v>296</v>
      </c>
      <c r="C43" s="4" t="s">
        <v>295</v>
      </c>
      <c r="D43" s="4" t="s">
        <v>587</v>
      </c>
      <c r="E43" s="4" t="s">
        <v>586</v>
      </c>
      <c r="F43" s="3">
        <v>1.839</v>
      </c>
      <c r="G43" s="3" t="s">
        <v>588</v>
      </c>
      <c r="H43" s="1"/>
    </row>
    <row r="44" spans="1:8" ht="15.75" hidden="1" thickBot="1">
      <c r="A44" s="3">
        <v>41</v>
      </c>
      <c r="B44" s="4" t="s">
        <v>507</v>
      </c>
      <c r="C44" s="4" t="s">
        <v>506</v>
      </c>
      <c r="D44" s="4" t="s">
        <v>587</v>
      </c>
      <c r="E44" s="4" t="s">
        <v>586</v>
      </c>
      <c r="F44" s="3">
        <v>19.670999999999999</v>
      </c>
      <c r="G44" s="3" t="s">
        <v>588</v>
      </c>
      <c r="H44" s="1"/>
    </row>
    <row r="45" spans="1:8" ht="15.75" hidden="1" thickBot="1">
      <c r="A45" s="3">
        <v>42</v>
      </c>
      <c r="B45" s="4" t="s">
        <v>235</v>
      </c>
      <c r="C45" s="4" t="s">
        <v>234</v>
      </c>
      <c r="D45" s="4" t="s">
        <v>590</v>
      </c>
      <c r="E45" s="4" t="s">
        <v>589</v>
      </c>
      <c r="F45" s="3">
        <v>0.20799999999999999</v>
      </c>
      <c r="G45" s="3" t="s">
        <v>591</v>
      </c>
      <c r="H45" s="1"/>
    </row>
    <row r="46" spans="1:8" ht="15.75" hidden="1" thickBot="1">
      <c r="A46" s="3">
        <v>43</v>
      </c>
      <c r="B46" s="4" t="s">
        <v>296</v>
      </c>
      <c r="C46" s="4" t="s">
        <v>295</v>
      </c>
      <c r="D46" s="4" t="s">
        <v>590</v>
      </c>
      <c r="E46" s="4" t="s">
        <v>589</v>
      </c>
      <c r="F46" s="3">
        <v>0.114</v>
      </c>
      <c r="G46" s="3" t="s">
        <v>591</v>
      </c>
      <c r="H46" s="1"/>
    </row>
    <row r="47" spans="1:8" ht="15.75" hidden="1" thickBot="1">
      <c r="A47" s="3">
        <v>44</v>
      </c>
      <c r="B47" s="4" t="s">
        <v>507</v>
      </c>
      <c r="C47" s="4" t="s">
        <v>506</v>
      </c>
      <c r="D47" s="4" t="s">
        <v>590</v>
      </c>
      <c r="E47" s="4" t="s">
        <v>589</v>
      </c>
      <c r="F47" s="3">
        <v>1.224</v>
      </c>
      <c r="G47" s="3" t="s">
        <v>591</v>
      </c>
      <c r="H47" s="1"/>
    </row>
    <row r="48" spans="1:8" ht="15.75" hidden="1" thickBot="1">
      <c r="A48" s="3">
        <v>45</v>
      </c>
      <c r="B48" s="4" t="s">
        <v>235</v>
      </c>
      <c r="C48" s="4" t="s">
        <v>234</v>
      </c>
      <c r="D48" s="4" t="s">
        <v>593</v>
      </c>
      <c r="E48" s="4" t="s">
        <v>592</v>
      </c>
      <c r="F48" s="3">
        <v>2.5950000000000002</v>
      </c>
      <c r="G48" s="3" t="s">
        <v>594</v>
      </c>
      <c r="H48" s="1"/>
    </row>
    <row r="49" spans="1:8" ht="15.75" hidden="1" thickBot="1">
      <c r="A49" s="3">
        <v>46</v>
      </c>
      <c r="B49" s="4" t="s">
        <v>296</v>
      </c>
      <c r="C49" s="4" t="s">
        <v>295</v>
      </c>
      <c r="D49" s="4" t="s">
        <v>593</v>
      </c>
      <c r="E49" s="4" t="s">
        <v>592</v>
      </c>
      <c r="F49" s="3">
        <v>1.425</v>
      </c>
      <c r="G49" s="3" t="s">
        <v>594</v>
      </c>
      <c r="H49" s="1"/>
    </row>
    <row r="50" spans="1:8" ht="15.75" hidden="1" thickBot="1">
      <c r="A50" s="3">
        <v>47</v>
      </c>
      <c r="B50" s="4" t="s">
        <v>507</v>
      </c>
      <c r="C50" s="4" t="s">
        <v>506</v>
      </c>
      <c r="D50" s="4" t="s">
        <v>593</v>
      </c>
      <c r="E50" s="4" t="s">
        <v>592</v>
      </c>
      <c r="F50" s="3">
        <v>15.23</v>
      </c>
      <c r="G50" s="3" t="s">
        <v>594</v>
      </c>
      <c r="H50" s="1"/>
    </row>
    <row r="51" spans="1:8" ht="15.75" hidden="1" thickBot="1">
      <c r="A51" s="3">
        <v>48</v>
      </c>
      <c r="B51" s="4" t="s">
        <v>507</v>
      </c>
      <c r="C51" s="4" t="s">
        <v>506</v>
      </c>
      <c r="D51" s="4" t="s">
        <v>596</v>
      </c>
      <c r="E51" s="4" t="s">
        <v>595</v>
      </c>
      <c r="F51" s="3">
        <v>14.34</v>
      </c>
      <c r="G51" s="3" t="s">
        <v>597</v>
      </c>
      <c r="H51" s="1"/>
    </row>
    <row r="52" spans="1:8" ht="23.25" hidden="1" thickBot="1">
      <c r="A52" s="3">
        <v>49</v>
      </c>
      <c r="B52" s="4" t="s">
        <v>523</v>
      </c>
      <c r="C52" s="4" t="s">
        <v>522</v>
      </c>
      <c r="D52" s="4" t="s">
        <v>596</v>
      </c>
      <c r="E52" s="4" t="s">
        <v>595</v>
      </c>
      <c r="F52" s="3">
        <v>2.4119999999999999</v>
      </c>
      <c r="G52" s="3" t="s">
        <v>597</v>
      </c>
      <c r="H52" s="1"/>
    </row>
    <row r="53" spans="1:8" ht="15.75" hidden="1" thickBot="1">
      <c r="A53" s="3">
        <v>50</v>
      </c>
      <c r="B53" s="4" t="s">
        <v>298</v>
      </c>
      <c r="C53" s="4" t="s">
        <v>297</v>
      </c>
      <c r="D53" s="4" t="s">
        <v>599</v>
      </c>
      <c r="E53" s="4" t="s">
        <v>598</v>
      </c>
      <c r="F53" s="3">
        <v>6.681</v>
      </c>
      <c r="G53" s="3" t="s">
        <v>600</v>
      </c>
      <c r="H53" s="1"/>
    </row>
    <row r="54" spans="1:8" ht="15.75" hidden="1" thickBot="1">
      <c r="A54" s="3">
        <v>51</v>
      </c>
      <c r="B54" s="4" t="s">
        <v>507</v>
      </c>
      <c r="C54" s="4" t="s">
        <v>506</v>
      </c>
      <c r="D54" s="4" t="s">
        <v>599</v>
      </c>
      <c r="E54" s="4" t="s">
        <v>598</v>
      </c>
      <c r="F54" s="3">
        <v>96.38</v>
      </c>
      <c r="G54" s="3" t="s">
        <v>600</v>
      </c>
      <c r="H54" s="1"/>
    </row>
    <row r="55" spans="1:8" ht="15.75" hidden="1" thickBot="1">
      <c r="A55" s="3">
        <v>52</v>
      </c>
      <c r="B55" s="4" t="s">
        <v>298</v>
      </c>
      <c r="C55" s="4" t="s">
        <v>297</v>
      </c>
      <c r="D55" s="4" t="s">
        <v>602</v>
      </c>
      <c r="E55" s="4" t="s">
        <v>601</v>
      </c>
      <c r="F55" s="3">
        <v>0.97799999999999998</v>
      </c>
      <c r="G55" s="3" t="s">
        <v>603</v>
      </c>
      <c r="H55" s="1"/>
    </row>
    <row r="56" spans="1:8" ht="15.75" hidden="1" thickBot="1">
      <c r="A56" s="3">
        <v>53</v>
      </c>
      <c r="B56" s="4" t="s">
        <v>507</v>
      </c>
      <c r="C56" s="4" t="s">
        <v>506</v>
      </c>
      <c r="D56" s="4" t="s">
        <v>602</v>
      </c>
      <c r="E56" s="4" t="s">
        <v>601</v>
      </c>
      <c r="F56" s="3">
        <v>14.11</v>
      </c>
      <c r="G56" s="3" t="s">
        <v>603</v>
      </c>
      <c r="H56" s="1"/>
    </row>
    <row r="57" spans="1:8" ht="15.75" thickBot="1">
      <c r="A57" s="3">
        <v>54</v>
      </c>
      <c r="B57" s="4" t="s">
        <v>16</v>
      </c>
      <c r="C57" s="4" t="s">
        <v>15</v>
      </c>
      <c r="D57" s="4" t="s">
        <v>605</v>
      </c>
      <c r="E57" s="4" t="s">
        <v>604</v>
      </c>
      <c r="F57" s="3">
        <v>0.56799999999999995</v>
      </c>
      <c r="G57" s="3">
        <v>18440</v>
      </c>
      <c r="H57" s="1">
        <f>G57</f>
        <v>18440</v>
      </c>
    </row>
    <row r="58" spans="1:8" ht="15.75" thickBot="1">
      <c r="A58" s="3">
        <v>55</v>
      </c>
      <c r="B58" s="4" t="s">
        <v>150</v>
      </c>
      <c r="C58" s="4" t="s">
        <v>149</v>
      </c>
      <c r="D58" s="4" t="s">
        <v>605</v>
      </c>
      <c r="E58" s="4" t="s">
        <v>604</v>
      </c>
      <c r="F58" s="3">
        <v>0.371</v>
      </c>
      <c r="G58" s="3">
        <v>18440</v>
      </c>
      <c r="H58" s="1"/>
    </row>
    <row r="59" spans="1:8" ht="23.25" hidden="1" thickBot="1">
      <c r="A59" s="3">
        <v>56</v>
      </c>
      <c r="B59" s="4" t="s">
        <v>235</v>
      </c>
      <c r="C59" s="4" t="s">
        <v>234</v>
      </c>
      <c r="D59" s="4" t="s">
        <v>607</v>
      </c>
      <c r="E59" s="4" t="s">
        <v>606</v>
      </c>
      <c r="F59" s="3">
        <v>0.02</v>
      </c>
      <c r="G59" s="3" t="s">
        <v>608</v>
      </c>
      <c r="H59" s="1"/>
    </row>
    <row r="60" spans="1:8" ht="23.25" hidden="1" thickBot="1">
      <c r="A60" s="3">
        <v>57</v>
      </c>
      <c r="B60" s="4" t="s">
        <v>525</v>
      </c>
      <c r="C60" s="4" t="s">
        <v>524</v>
      </c>
      <c r="D60" s="4" t="s">
        <v>607</v>
      </c>
      <c r="E60" s="4" t="s">
        <v>606</v>
      </c>
      <c r="F60" s="3">
        <v>0.03</v>
      </c>
      <c r="G60" s="3" t="s">
        <v>608</v>
      </c>
      <c r="H60" s="1"/>
    </row>
    <row r="61" spans="1:8" ht="15.75" thickBot="1">
      <c r="A61" s="3">
        <v>58</v>
      </c>
      <c r="B61" s="4" t="s">
        <v>16</v>
      </c>
      <c r="C61" s="4" t="s">
        <v>15</v>
      </c>
      <c r="D61" s="4" t="s">
        <v>610</v>
      </c>
      <c r="E61" s="4" t="s">
        <v>609</v>
      </c>
      <c r="F61" s="3">
        <v>3.8039999999999998</v>
      </c>
      <c r="G61" s="3">
        <v>164840</v>
      </c>
      <c r="H61" s="1">
        <f>G61</f>
        <v>164840</v>
      </c>
    </row>
    <row r="62" spans="1:8" ht="15.75" thickBot="1">
      <c r="A62" s="3">
        <v>59</v>
      </c>
      <c r="B62" s="4" t="s">
        <v>150</v>
      </c>
      <c r="C62" s="4" t="s">
        <v>149</v>
      </c>
      <c r="D62" s="4" t="s">
        <v>610</v>
      </c>
      <c r="E62" s="4" t="s">
        <v>609</v>
      </c>
      <c r="F62" s="3">
        <v>2.081</v>
      </c>
      <c r="G62" s="3">
        <v>164840</v>
      </c>
      <c r="H62" s="1"/>
    </row>
    <row r="63" spans="1:8" ht="15.75" thickBot="1">
      <c r="A63" s="3">
        <v>60</v>
      </c>
      <c r="B63" s="4" t="s">
        <v>16</v>
      </c>
      <c r="C63" s="4" t="s">
        <v>15</v>
      </c>
      <c r="D63" s="4" t="s">
        <v>612</v>
      </c>
      <c r="E63" s="4" t="s">
        <v>611</v>
      </c>
      <c r="F63" s="3">
        <v>0.43</v>
      </c>
      <c r="G63" s="3">
        <v>18580</v>
      </c>
      <c r="H63" s="1">
        <f>G63</f>
        <v>18580</v>
      </c>
    </row>
    <row r="64" spans="1:8" ht="15.75" thickBot="1">
      <c r="A64" s="3">
        <v>61</v>
      </c>
      <c r="B64" s="4" t="s">
        <v>150</v>
      </c>
      <c r="C64" s="4" t="s">
        <v>149</v>
      </c>
      <c r="D64" s="4" t="s">
        <v>612</v>
      </c>
      <c r="E64" s="4" t="s">
        <v>611</v>
      </c>
      <c r="F64" s="3">
        <v>0.24099999999999999</v>
      </c>
      <c r="G64" s="3">
        <v>18580</v>
      </c>
      <c r="H64" s="1"/>
    </row>
    <row r="65" spans="1:8" ht="15.75" hidden="1" thickBot="1">
      <c r="A65" s="3">
        <v>62</v>
      </c>
      <c r="B65" s="4" t="s">
        <v>116</v>
      </c>
      <c r="C65" s="4" t="s">
        <v>115</v>
      </c>
      <c r="D65" s="4" t="s">
        <v>614</v>
      </c>
      <c r="E65" s="4" t="s">
        <v>613</v>
      </c>
      <c r="F65" s="3">
        <v>2.1190000000000002</v>
      </c>
      <c r="G65" s="3" t="s">
        <v>615</v>
      </c>
      <c r="H65" s="1"/>
    </row>
    <row r="66" spans="1:8" ht="15.75" hidden="1" thickBot="1">
      <c r="A66" s="3">
        <v>63</v>
      </c>
      <c r="B66" s="4" t="s">
        <v>507</v>
      </c>
      <c r="C66" s="4" t="s">
        <v>506</v>
      </c>
      <c r="D66" s="4" t="s">
        <v>614</v>
      </c>
      <c r="E66" s="4" t="s">
        <v>613</v>
      </c>
      <c r="F66" s="3">
        <v>0.70799999999999996</v>
      </c>
      <c r="G66" s="3" t="s">
        <v>615</v>
      </c>
      <c r="H66" s="1"/>
    </row>
    <row r="67" spans="1:8" ht="15.75" hidden="1" thickBot="1">
      <c r="A67" s="3">
        <v>64</v>
      </c>
      <c r="B67" s="4" t="s">
        <v>152</v>
      </c>
      <c r="C67" s="4" t="s">
        <v>151</v>
      </c>
      <c r="D67" s="4" t="s">
        <v>617</v>
      </c>
      <c r="E67" s="4" t="s">
        <v>616</v>
      </c>
      <c r="F67" s="3">
        <v>9.843</v>
      </c>
      <c r="G67" s="3" t="s">
        <v>618</v>
      </c>
      <c r="H67" s="1"/>
    </row>
    <row r="68" spans="1:8" ht="23.25" hidden="1" thickBot="1">
      <c r="A68" s="3">
        <v>65</v>
      </c>
      <c r="B68" s="4" t="s">
        <v>294</v>
      </c>
      <c r="C68" s="4" t="s">
        <v>293</v>
      </c>
      <c r="D68" s="4" t="s">
        <v>617</v>
      </c>
      <c r="E68" s="4" t="s">
        <v>616</v>
      </c>
      <c r="F68" s="3">
        <v>1.97</v>
      </c>
      <c r="G68" s="3" t="s">
        <v>618</v>
      </c>
      <c r="H68" s="1"/>
    </row>
    <row r="69" spans="1:8" ht="15.75" hidden="1" thickBot="1">
      <c r="A69" s="3">
        <v>66</v>
      </c>
      <c r="B69" s="4" t="s">
        <v>152</v>
      </c>
      <c r="C69" s="4" t="s">
        <v>151</v>
      </c>
      <c r="D69" s="4" t="s">
        <v>620</v>
      </c>
      <c r="E69" s="4" t="s">
        <v>619</v>
      </c>
      <c r="F69" s="3">
        <v>9.1639999999999997</v>
      </c>
      <c r="G69" s="3" t="s">
        <v>621</v>
      </c>
      <c r="H69" s="1"/>
    </row>
    <row r="70" spans="1:8" ht="23.25" hidden="1" thickBot="1">
      <c r="A70" s="3">
        <v>67</v>
      </c>
      <c r="B70" s="4" t="s">
        <v>294</v>
      </c>
      <c r="C70" s="4" t="s">
        <v>293</v>
      </c>
      <c r="D70" s="4" t="s">
        <v>620</v>
      </c>
      <c r="E70" s="4" t="s">
        <v>619</v>
      </c>
      <c r="F70" s="3">
        <v>1.835</v>
      </c>
      <c r="G70" s="3" t="s">
        <v>621</v>
      </c>
      <c r="H70" s="1"/>
    </row>
    <row r="71" spans="1:8" ht="23.25" hidden="1" thickBot="1">
      <c r="A71" s="3">
        <v>68</v>
      </c>
      <c r="B71" s="4" t="s">
        <v>62</v>
      </c>
      <c r="C71" s="4" t="s">
        <v>61</v>
      </c>
      <c r="D71" s="4" t="s">
        <v>623</v>
      </c>
      <c r="E71" s="4" t="s">
        <v>622</v>
      </c>
      <c r="F71" s="3">
        <v>0.45500000000000002</v>
      </c>
      <c r="G71" s="3" t="s">
        <v>624</v>
      </c>
      <c r="H71" s="1"/>
    </row>
    <row r="72" spans="1:8" ht="15.75" hidden="1" thickBot="1">
      <c r="A72" s="3">
        <v>69</v>
      </c>
      <c r="B72" s="4" t="s">
        <v>507</v>
      </c>
      <c r="C72" s="4" t="s">
        <v>506</v>
      </c>
      <c r="D72" s="4" t="s">
        <v>623</v>
      </c>
      <c r="E72" s="4" t="s">
        <v>622</v>
      </c>
      <c r="F72" s="3">
        <v>12.622999999999999</v>
      </c>
      <c r="G72" s="3" t="s">
        <v>624</v>
      </c>
      <c r="H72" s="1"/>
    </row>
    <row r="73" spans="1:8" ht="15.75" hidden="1" thickBot="1">
      <c r="A73" s="3">
        <v>70</v>
      </c>
      <c r="B73" s="4" t="s">
        <v>521</v>
      </c>
      <c r="C73" s="4" t="s">
        <v>520</v>
      </c>
      <c r="D73" s="4" t="s">
        <v>623</v>
      </c>
      <c r="E73" s="4" t="s">
        <v>622</v>
      </c>
      <c r="F73" s="3">
        <v>0.29399999999999998</v>
      </c>
      <c r="G73" s="3" t="s">
        <v>624</v>
      </c>
      <c r="H73" s="1"/>
    </row>
    <row r="74" spans="1:8" ht="34.5" hidden="1" thickBot="1">
      <c r="A74" s="3">
        <v>71</v>
      </c>
      <c r="B74" s="4" t="s">
        <v>127</v>
      </c>
      <c r="C74" s="4" t="s">
        <v>126</v>
      </c>
      <c r="D74" s="4" t="s">
        <v>626</v>
      </c>
      <c r="E74" s="4" t="s">
        <v>625</v>
      </c>
      <c r="F74" s="3">
        <v>0.32900000000000001</v>
      </c>
      <c r="G74" s="3" t="s">
        <v>330</v>
      </c>
      <c r="H74" s="1"/>
    </row>
    <row r="75" spans="1:8" ht="15.75" hidden="1" thickBot="1">
      <c r="A75" s="3">
        <v>72</v>
      </c>
      <c r="B75" s="4" t="s">
        <v>521</v>
      </c>
      <c r="C75" s="4" t="s">
        <v>520</v>
      </c>
      <c r="D75" s="4" t="s">
        <v>626</v>
      </c>
      <c r="E75" s="4" t="s">
        <v>625</v>
      </c>
      <c r="F75" s="3">
        <v>0.113</v>
      </c>
      <c r="G75" s="3" t="s">
        <v>330</v>
      </c>
      <c r="H75" s="1"/>
    </row>
    <row r="76" spans="1:8" ht="15.75" hidden="1" thickBot="1">
      <c r="A76" s="3">
        <v>73</v>
      </c>
      <c r="B76" s="4" t="s">
        <v>16</v>
      </c>
      <c r="C76" s="4" t="s">
        <v>15</v>
      </c>
      <c r="D76" s="4" t="s">
        <v>628</v>
      </c>
      <c r="E76" s="4" t="s">
        <v>627</v>
      </c>
      <c r="F76" s="3">
        <v>1.3280000000000001</v>
      </c>
      <c r="G76" s="3" t="s">
        <v>629</v>
      </c>
      <c r="H76" s="1"/>
    </row>
    <row r="77" spans="1:8" ht="15.75" hidden="1" thickBot="1">
      <c r="A77" s="3">
        <v>74</v>
      </c>
      <c r="B77" s="4" t="s">
        <v>152</v>
      </c>
      <c r="C77" s="4" t="s">
        <v>151</v>
      </c>
      <c r="D77" s="4" t="s">
        <v>628</v>
      </c>
      <c r="E77" s="4" t="s">
        <v>627</v>
      </c>
      <c r="F77" s="3">
        <v>33.859000000000002</v>
      </c>
      <c r="G77" s="3" t="s">
        <v>629</v>
      </c>
      <c r="H77" s="1"/>
    </row>
    <row r="78" spans="1:8" ht="15.75" hidden="1" thickBot="1">
      <c r="A78" s="3">
        <v>75</v>
      </c>
      <c r="B78" s="4" t="s">
        <v>235</v>
      </c>
      <c r="C78" s="4" t="s">
        <v>234</v>
      </c>
      <c r="D78" s="4" t="s">
        <v>628</v>
      </c>
      <c r="E78" s="4" t="s">
        <v>627</v>
      </c>
      <c r="F78" s="3">
        <v>0.72099999999999997</v>
      </c>
      <c r="G78" s="3" t="s">
        <v>629</v>
      </c>
      <c r="H78" s="1"/>
    </row>
    <row r="79" spans="1:8" ht="15.75" hidden="1" thickBot="1">
      <c r="A79" s="3">
        <v>76</v>
      </c>
      <c r="B79" s="4" t="s">
        <v>521</v>
      </c>
      <c r="C79" s="4" t="s">
        <v>520</v>
      </c>
      <c r="D79" s="4" t="s">
        <v>628</v>
      </c>
      <c r="E79" s="4" t="s">
        <v>627</v>
      </c>
      <c r="F79" s="3">
        <v>0.189</v>
      </c>
      <c r="G79" s="3" t="s">
        <v>629</v>
      </c>
      <c r="H79" s="1"/>
    </row>
    <row r="80" spans="1:8" ht="23.25" hidden="1" thickBot="1">
      <c r="A80" s="3">
        <v>77</v>
      </c>
      <c r="B80" s="4" t="s">
        <v>288</v>
      </c>
      <c r="C80" s="4" t="s">
        <v>287</v>
      </c>
      <c r="D80" s="4" t="s">
        <v>631</v>
      </c>
      <c r="E80" s="4" t="s">
        <v>630</v>
      </c>
      <c r="F80" s="3">
        <v>0.66100000000000003</v>
      </c>
      <c r="G80" s="3" t="s">
        <v>632</v>
      </c>
      <c r="H80" s="1"/>
    </row>
    <row r="81" spans="1:8" ht="15.75" hidden="1" thickBot="1">
      <c r="A81" s="3">
        <v>78</v>
      </c>
      <c r="B81" s="4" t="s">
        <v>16</v>
      </c>
      <c r="C81" s="4" t="s">
        <v>15</v>
      </c>
      <c r="D81" s="4" t="s">
        <v>634</v>
      </c>
      <c r="E81" s="4" t="s">
        <v>633</v>
      </c>
      <c r="F81" s="3">
        <v>1.2929999999999999</v>
      </c>
      <c r="G81" s="3" t="s">
        <v>635</v>
      </c>
      <c r="H81" s="1"/>
    </row>
    <row r="82" spans="1:8" ht="15.75" hidden="1" thickBot="1">
      <c r="A82" s="3">
        <v>79</v>
      </c>
      <c r="B82" s="4" t="s">
        <v>152</v>
      </c>
      <c r="C82" s="4" t="s">
        <v>151</v>
      </c>
      <c r="D82" s="4" t="s">
        <v>634</v>
      </c>
      <c r="E82" s="4" t="s">
        <v>633</v>
      </c>
      <c r="F82" s="3">
        <v>28.782</v>
      </c>
      <c r="G82" s="3" t="s">
        <v>636</v>
      </c>
      <c r="H82" s="1"/>
    </row>
    <row r="83" spans="1:8" ht="15.75" hidden="1" thickBot="1">
      <c r="A83" s="3">
        <v>80</v>
      </c>
      <c r="B83" s="4" t="s">
        <v>235</v>
      </c>
      <c r="C83" s="4" t="s">
        <v>234</v>
      </c>
      <c r="D83" s="4" t="s">
        <v>634</v>
      </c>
      <c r="E83" s="4" t="s">
        <v>633</v>
      </c>
      <c r="F83" s="3">
        <v>0.75600000000000001</v>
      </c>
      <c r="G83" s="3" t="s">
        <v>635</v>
      </c>
      <c r="H83" s="1"/>
    </row>
    <row r="84" spans="1:8" ht="15.75" hidden="1" thickBot="1">
      <c r="A84" s="3">
        <v>81</v>
      </c>
      <c r="B84" s="4" t="s">
        <v>521</v>
      </c>
      <c r="C84" s="4" t="s">
        <v>520</v>
      </c>
      <c r="D84" s="4" t="s">
        <v>634</v>
      </c>
      <c r="E84" s="4" t="s">
        <v>633</v>
      </c>
      <c r="F84" s="3">
        <v>0.2</v>
      </c>
      <c r="G84" s="3" t="s">
        <v>635</v>
      </c>
      <c r="H84" s="1"/>
    </row>
    <row r="85" spans="1:8" ht="23.25" hidden="1" thickBot="1">
      <c r="A85" s="3">
        <v>82</v>
      </c>
      <c r="B85" s="4" t="s">
        <v>81</v>
      </c>
      <c r="C85" s="4" t="s">
        <v>80</v>
      </c>
      <c r="D85" s="4" t="s">
        <v>638</v>
      </c>
      <c r="E85" s="4" t="s">
        <v>637</v>
      </c>
      <c r="F85" s="3">
        <v>8.1189999999999998</v>
      </c>
      <c r="G85" s="3" t="s">
        <v>639</v>
      </c>
      <c r="H85" s="1"/>
    </row>
    <row r="86" spans="1:8" ht="23.25" hidden="1" thickBot="1">
      <c r="A86" s="3">
        <v>83</v>
      </c>
      <c r="B86" s="4" t="s">
        <v>81</v>
      </c>
      <c r="C86" s="4" t="s">
        <v>80</v>
      </c>
      <c r="D86" s="4" t="s">
        <v>641</v>
      </c>
      <c r="E86" s="4" t="s">
        <v>640</v>
      </c>
      <c r="F86" s="3">
        <v>1.135</v>
      </c>
      <c r="G86" s="3" t="s">
        <v>642</v>
      </c>
      <c r="H86" s="1"/>
    </row>
    <row r="87" spans="1:8" ht="15.75" hidden="1" thickBot="1">
      <c r="A87" s="3">
        <v>84</v>
      </c>
      <c r="B87" s="4" t="s">
        <v>221</v>
      </c>
      <c r="C87" s="4" t="s">
        <v>220</v>
      </c>
      <c r="D87" s="4" t="s">
        <v>644</v>
      </c>
      <c r="E87" s="4" t="s">
        <v>643</v>
      </c>
      <c r="F87" s="3">
        <v>1.78</v>
      </c>
      <c r="G87" s="3" t="s">
        <v>645</v>
      </c>
      <c r="H87" s="1"/>
    </row>
    <row r="88" spans="1:8" ht="23.25" hidden="1" thickBot="1">
      <c r="A88" s="3">
        <v>85</v>
      </c>
      <c r="B88" s="4" t="s">
        <v>523</v>
      </c>
      <c r="C88" s="4" t="s">
        <v>522</v>
      </c>
      <c r="D88" s="4" t="s">
        <v>644</v>
      </c>
      <c r="E88" s="4" t="s">
        <v>643</v>
      </c>
      <c r="F88" s="3">
        <v>0.17799999999999999</v>
      </c>
      <c r="G88" s="3" t="s">
        <v>645</v>
      </c>
      <c r="H88" s="1"/>
    </row>
    <row r="89" spans="1:8" ht="15.75" hidden="1" thickBot="1">
      <c r="A89" s="2"/>
      <c r="B89" s="2"/>
      <c r="C89" s="2"/>
      <c r="D89" s="2"/>
      <c r="E89" s="2"/>
      <c r="F89" s="2">
        <v>829.73900000000003</v>
      </c>
      <c r="G89" s="2" t="s">
        <v>646</v>
      </c>
      <c r="H89" s="1"/>
    </row>
  </sheetData>
  <autoFilter ref="A3:G89">
    <filterColumn colId="1"/>
    <filterColumn colId="3"/>
    <filterColumn colId="4">
      <customFilters>
        <customFilter val="*ряж*"/>
      </custom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B1:I370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377" sqref="I377"/>
    </sheetView>
  </sheetViews>
  <sheetFormatPr defaultRowHeight="15"/>
  <cols>
    <col min="2" max="2" width="13.7109375" customWidth="1"/>
    <col min="3" max="3" width="58.5703125" customWidth="1"/>
    <col min="4" max="4" width="21.7109375" customWidth="1"/>
    <col min="5" max="5" width="57.140625" bestFit="1" customWidth="1"/>
    <col min="6" max="6" width="26.28515625" customWidth="1"/>
    <col min="7" max="7" width="19" customWidth="1"/>
    <col min="8" max="8" width="19.42578125" customWidth="1"/>
    <col min="9" max="9" width="15.85546875" customWidth="1"/>
  </cols>
  <sheetData>
    <row r="1" spans="2:9" ht="15.75" thickBot="1"/>
    <row r="2" spans="2:9" ht="23.25" thickBot="1">
      <c r="B2" s="2" t="s">
        <v>4</v>
      </c>
      <c r="C2" s="2" t="s">
        <v>3</v>
      </c>
      <c r="D2" s="2" t="s">
        <v>9</v>
      </c>
      <c r="E2" s="2" t="s">
        <v>8</v>
      </c>
      <c r="F2" s="2" t="s">
        <v>647</v>
      </c>
      <c r="G2" s="2" t="s">
        <v>648</v>
      </c>
      <c r="H2" s="2" t="s">
        <v>649</v>
      </c>
      <c r="I2" s="2" t="s">
        <v>650</v>
      </c>
    </row>
    <row r="3" spans="2:9" ht="15.75" thickBot="1">
      <c r="B3" s="2"/>
      <c r="C3" s="2"/>
      <c r="D3" s="2"/>
      <c r="E3" s="2"/>
      <c r="F3" s="2"/>
      <c r="G3" s="2"/>
    </row>
    <row r="4" spans="2:9" ht="15.75" hidden="1" thickBot="1">
      <c r="B4" s="13" t="s">
        <v>16</v>
      </c>
      <c r="C4" s="13" t="s">
        <v>15</v>
      </c>
      <c r="D4" s="13" t="s">
        <v>20</v>
      </c>
      <c r="E4" s="13" t="s">
        <v>19</v>
      </c>
      <c r="F4" s="14">
        <v>0.19236663200000001</v>
      </c>
      <c r="G4" s="3">
        <v>50669</v>
      </c>
    </row>
    <row r="5" spans="2:9" ht="15.75" hidden="1" thickBot="1">
      <c r="B5" s="13" t="s">
        <v>16</v>
      </c>
      <c r="C5" s="13" t="s">
        <v>15</v>
      </c>
      <c r="D5" s="13" t="s">
        <v>25</v>
      </c>
      <c r="E5" s="13" t="s">
        <v>24</v>
      </c>
      <c r="F5" s="14">
        <v>9.1128218999999996E-2</v>
      </c>
      <c r="G5" s="3">
        <v>21936</v>
      </c>
    </row>
    <row r="6" spans="2:9" ht="15.75" hidden="1" thickBot="1">
      <c r="B6" s="11" t="s">
        <v>16</v>
      </c>
      <c r="C6" s="4" t="s">
        <v>15</v>
      </c>
      <c r="D6" s="4" t="s">
        <v>30</v>
      </c>
      <c r="E6" s="4" t="s">
        <v>29</v>
      </c>
      <c r="F6" s="3">
        <v>5.8363626579999996</v>
      </c>
      <c r="G6" s="3">
        <v>1061732</v>
      </c>
    </row>
    <row r="7" spans="2:9" ht="15.75" hidden="1" thickBot="1">
      <c r="B7" s="11" t="s">
        <v>16</v>
      </c>
      <c r="C7" s="4" t="s">
        <v>15</v>
      </c>
      <c r="D7" s="4" t="s">
        <v>34</v>
      </c>
      <c r="E7" s="4" t="s">
        <v>33</v>
      </c>
      <c r="F7" s="3">
        <v>0.61443497199999997</v>
      </c>
      <c r="G7" s="3">
        <v>111776</v>
      </c>
    </row>
    <row r="8" spans="2:9" ht="15.75" hidden="1" thickBot="1">
      <c r="B8" s="11" t="s">
        <v>16</v>
      </c>
      <c r="C8" s="4" t="s">
        <v>15</v>
      </c>
      <c r="D8" s="4" t="s">
        <v>38</v>
      </c>
      <c r="E8" s="4" t="s">
        <v>37</v>
      </c>
      <c r="F8" s="3">
        <v>0.20014584599999999</v>
      </c>
      <c r="G8" s="3">
        <v>25944</v>
      </c>
    </row>
    <row r="9" spans="2:9" ht="15.75" hidden="1" thickBot="1">
      <c r="B9" s="11" t="s">
        <v>16</v>
      </c>
      <c r="C9" s="4" t="s">
        <v>15</v>
      </c>
      <c r="D9" s="4" t="s">
        <v>42</v>
      </c>
      <c r="E9" s="4" t="s">
        <v>41</v>
      </c>
      <c r="F9" s="3">
        <v>2.7124298000000002E-2</v>
      </c>
      <c r="G9" s="3">
        <v>3516</v>
      </c>
    </row>
    <row r="10" spans="2:9" ht="15.75" hidden="1" thickBot="1">
      <c r="B10" s="13" t="s">
        <v>16</v>
      </c>
      <c r="C10" s="13" t="s">
        <v>15</v>
      </c>
      <c r="D10" s="13" t="s">
        <v>46</v>
      </c>
      <c r="E10" s="13" t="s">
        <v>45</v>
      </c>
      <c r="F10" s="14">
        <v>0.11022127600000001</v>
      </c>
      <c r="G10" s="3">
        <v>26532</v>
      </c>
    </row>
    <row r="11" spans="2:9" ht="15.75" hidden="1" thickBot="1">
      <c r="B11" s="13" t="s">
        <v>16</v>
      </c>
      <c r="C11" s="13" t="s">
        <v>15</v>
      </c>
      <c r="D11" s="13" t="s">
        <v>50</v>
      </c>
      <c r="E11" s="13" t="s">
        <v>49</v>
      </c>
      <c r="F11" s="14">
        <v>5.4371177E-2</v>
      </c>
      <c r="G11" s="3">
        <v>13088</v>
      </c>
    </row>
    <row r="12" spans="2:9" ht="15.75" hidden="1" thickBot="1">
      <c r="B12" s="13" t="s">
        <v>16</v>
      </c>
      <c r="C12" s="13" t="s">
        <v>15</v>
      </c>
      <c r="D12" s="13" t="s">
        <v>54</v>
      </c>
      <c r="E12" s="13" t="s">
        <v>53</v>
      </c>
      <c r="F12" s="14">
        <v>0.18115971</v>
      </c>
      <c r="G12" s="3">
        <v>43608</v>
      </c>
    </row>
    <row r="13" spans="2:9" ht="15.75" hidden="1" thickBot="1">
      <c r="B13" s="13" t="s">
        <v>16</v>
      </c>
      <c r="C13" s="13" t="s">
        <v>15</v>
      </c>
      <c r="D13" s="13" t="s">
        <v>58</v>
      </c>
      <c r="E13" s="13" t="s">
        <v>57</v>
      </c>
      <c r="F13" s="14">
        <v>1.094685211</v>
      </c>
      <c r="G13" s="3">
        <v>263508</v>
      </c>
    </row>
    <row r="14" spans="2:9" ht="23.25" hidden="1" thickBot="1">
      <c r="B14" s="4" t="s">
        <v>62</v>
      </c>
      <c r="C14" s="4" t="s">
        <v>61</v>
      </c>
      <c r="D14" s="4" t="s">
        <v>64</v>
      </c>
      <c r="E14" s="4" t="s">
        <v>63</v>
      </c>
      <c r="F14" s="3">
        <v>0.40772456099999999</v>
      </c>
      <c r="G14" s="3">
        <v>117785</v>
      </c>
    </row>
    <row r="15" spans="2:9" ht="23.25" hidden="1" thickBot="1">
      <c r="B15" s="4" t="s">
        <v>62</v>
      </c>
      <c r="C15" s="4" t="s">
        <v>61</v>
      </c>
      <c r="D15" s="4" t="s">
        <v>69</v>
      </c>
      <c r="E15" s="4" t="s">
        <v>68</v>
      </c>
      <c r="F15" s="3">
        <v>0.15960364799999999</v>
      </c>
      <c r="G15" s="3">
        <v>29904</v>
      </c>
    </row>
    <row r="16" spans="2:9" ht="23.25" hidden="1" thickBot="1">
      <c r="B16" s="4" t="s">
        <v>62</v>
      </c>
      <c r="C16" s="4" t="s">
        <v>61</v>
      </c>
      <c r="D16" s="4" t="s">
        <v>73</v>
      </c>
      <c r="E16" s="4" t="s">
        <v>72</v>
      </c>
      <c r="F16" s="3">
        <v>0.68695643100000003</v>
      </c>
      <c r="G16" s="3">
        <v>128711</v>
      </c>
    </row>
    <row r="17" spans="2:7" ht="23.25" hidden="1" thickBot="1">
      <c r="B17" s="4" t="s">
        <v>62</v>
      </c>
      <c r="C17" s="4" t="s">
        <v>61</v>
      </c>
      <c r="D17" s="4" t="s">
        <v>77</v>
      </c>
      <c r="E17" s="4" t="s">
        <v>76</v>
      </c>
      <c r="F17" s="3">
        <v>0.659715359</v>
      </c>
      <c r="G17" s="3">
        <v>123607</v>
      </c>
    </row>
    <row r="18" spans="2:7" ht="15.75" hidden="1" thickBot="1">
      <c r="B18" s="4" t="s">
        <v>81</v>
      </c>
      <c r="C18" s="4" t="s">
        <v>80</v>
      </c>
      <c r="D18" s="4" t="s">
        <v>83</v>
      </c>
      <c r="E18" s="4" t="s">
        <v>82</v>
      </c>
      <c r="F18" s="3">
        <v>0.89613059900000003</v>
      </c>
      <c r="G18" s="3">
        <v>87358</v>
      </c>
    </row>
    <row r="19" spans="2:7" ht="15.75" hidden="1" thickBot="1">
      <c r="B19" s="4" t="s">
        <v>81</v>
      </c>
      <c r="C19" s="4" t="s">
        <v>80</v>
      </c>
      <c r="D19" s="4" t="s">
        <v>87</v>
      </c>
      <c r="E19" s="4" t="s">
        <v>86</v>
      </c>
      <c r="F19" s="3">
        <v>1.944697159</v>
      </c>
      <c r="G19" s="3">
        <v>189576</v>
      </c>
    </row>
    <row r="20" spans="2:7" ht="15.75" hidden="1" thickBot="1">
      <c r="B20" s="4" t="s">
        <v>81</v>
      </c>
      <c r="C20" s="4" t="s">
        <v>80</v>
      </c>
      <c r="D20" s="4" t="s">
        <v>91</v>
      </c>
      <c r="E20" s="4" t="s">
        <v>90</v>
      </c>
      <c r="F20" s="3">
        <v>1.560550331</v>
      </c>
      <c r="G20" s="3">
        <v>152128</v>
      </c>
    </row>
    <row r="21" spans="2:7" ht="15.75" hidden="1" thickBot="1">
      <c r="B21" s="4" t="s">
        <v>81</v>
      </c>
      <c r="C21" s="4" t="s">
        <v>80</v>
      </c>
      <c r="D21" s="4" t="s">
        <v>95</v>
      </c>
      <c r="E21" s="4" t="s">
        <v>94</v>
      </c>
      <c r="F21" s="3">
        <v>3.1523469550000001</v>
      </c>
      <c r="G21" s="3">
        <v>307302</v>
      </c>
    </row>
    <row r="22" spans="2:7" ht="15.75" hidden="1" thickBot="1">
      <c r="B22" s="4" t="s">
        <v>81</v>
      </c>
      <c r="C22" s="4" t="s">
        <v>80</v>
      </c>
      <c r="D22" s="4" t="s">
        <v>99</v>
      </c>
      <c r="E22" s="4" t="s">
        <v>98</v>
      </c>
      <c r="F22" s="3">
        <v>1.331711742</v>
      </c>
      <c r="G22" s="3">
        <v>129820</v>
      </c>
    </row>
    <row r="23" spans="2:7" ht="15.75" hidden="1" thickBot="1">
      <c r="B23" s="4" t="s">
        <v>81</v>
      </c>
      <c r="C23" s="4" t="s">
        <v>80</v>
      </c>
      <c r="D23" s="4" t="s">
        <v>103</v>
      </c>
      <c r="E23" s="4" t="s">
        <v>102</v>
      </c>
      <c r="F23" s="3">
        <v>0.15119537399999999</v>
      </c>
      <c r="G23" s="3">
        <v>13280</v>
      </c>
    </row>
    <row r="24" spans="2:7" ht="15.75" hidden="1" thickBot="1">
      <c r="B24" s="4" t="s">
        <v>81</v>
      </c>
      <c r="C24" s="4" t="s">
        <v>80</v>
      </c>
      <c r="D24" s="4" t="s">
        <v>107</v>
      </c>
      <c r="E24" s="4" t="s">
        <v>106</v>
      </c>
      <c r="F24" s="3">
        <v>0.113965789</v>
      </c>
      <c r="G24" s="3">
        <v>10010</v>
      </c>
    </row>
    <row r="25" spans="2:7" ht="15.75" hidden="1" thickBot="1">
      <c r="B25" s="4" t="s">
        <v>81</v>
      </c>
      <c r="C25" s="4" t="s">
        <v>80</v>
      </c>
      <c r="D25" s="4" t="s">
        <v>111</v>
      </c>
      <c r="E25" s="4" t="s">
        <v>110</v>
      </c>
      <c r="F25" s="3">
        <v>0.10340205199999999</v>
      </c>
      <c r="G25" s="3">
        <v>10080</v>
      </c>
    </row>
    <row r="26" spans="2:7" ht="15.75" hidden="1" thickBot="1">
      <c r="B26" s="4" t="s">
        <v>116</v>
      </c>
      <c r="C26" s="4" t="s">
        <v>115</v>
      </c>
      <c r="D26" s="4" t="s">
        <v>119</v>
      </c>
      <c r="E26" s="4" t="s">
        <v>118</v>
      </c>
      <c r="F26" s="3">
        <v>1.011082362</v>
      </c>
      <c r="G26" s="3">
        <v>7288</v>
      </c>
    </row>
    <row r="27" spans="2:7" ht="15.75" hidden="1" thickBot="1">
      <c r="B27" s="4" t="s">
        <v>116</v>
      </c>
      <c r="C27" s="4" t="s">
        <v>115</v>
      </c>
      <c r="D27" s="4" t="s">
        <v>123</v>
      </c>
      <c r="E27" s="4" t="s">
        <v>122</v>
      </c>
      <c r="F27" s="3">
        <v>1.107917638</v>
      </c>
      <c r="G27" s="3">
        <v>7986</v>
      </c>
    </row>
    <row r="28" spans="2:7" ht="23.25" hidden="1" thickBot="1">
      <c r="B28" s="4" t="s">
        <v>127</v>
      </c>
      <c r="C28" s="4" t="s">
        <v>126</v>
      </c>
      <c r="D28" s="4" t="s">
        <v>129</v>
      </c>
      <c r="E28" s="4" t="s">
        <v>128</v>
      </c>
      <c r="F28" s="3">
        <v>1.0328911759999999</v>
      </c>
      <c r="G28" s="3">
        <v>165552</v>
      </c>
    </row>
    <row r="29" spans="2:7" ht="23.25" hidden="1" thickBot="1">
      <c r="B29" s="4" t="s">
        <v>127</v>
      </c>
      <c r="C29" s="4" t="s">
        <v>126</v>
      </c>
      <c r="D29" s="4" t="s">
        <v>95</v>
      </c>
      <c r="E29" s="4" t="s">
        <v>94</v>
      </c>
      <c r="F29" s="3">
        <v>1.9472119800000001</v>
      </c>
      <c r="G29" s="3">
        <v>153651</v>
      </c>
    </row>
    <row r="30" spans="2:7" ht="23.25" hidden="1" thickBot="1">
      <c r="B30" s="4" t="s">
        <v>127</v>
      </c>
      <c r="C30" s="4" t="s">
        <v>126</v>
      </c>
      <c r="D30" s="4" t="s">
        <v>134</v>
      </c>
      <c r="E30" s="4" t="s">
        <v>133</v>
      </c>
      <c r="F30" s="3">
        <v>1.1775074759999999</v>
      </c>
      <c r="G30" s="3">
        <v>92915</v>
      </c>
    </row>
    <row r="31" spans="2:7" ht="23.25" hidden="1" thickBot="1">
      <c r="B31" s="4" t="s">
        <v>127</v>
      </c>
      <c r="C31" s="4" t="s">
        <v>126</v>
      </c>
      <c r="D31" s="4" t="s">
        <v>138</v>
      </c>
      <c r="E31" s="4" t="s">
        <v>137</v>
      </c>
      <c r="F31" s="3">
        <v>0.23025612300000001</v>
      </c>
      <c r="G31" s="3">
        <v>39264</v>
      </c>
    </row>
    <row r="32" spans="2:7" ht="23.25" hidden="1" thickBot="1">
      <c r="B32" s="4" t="s">
        <v>127</v>
      </c>
      <c r="C32" s="4" t="s">
        <v>126</v>
      </c>
      <c r="D32" s="4" t="s">
        <v>142</v>
      </c>
      <c r="E32" s="4" t="s">
        <v>141</v>
      </c>
      <c r="F32" s="3">
        <v>0.77462160999999996</v>
      </c>
      <c r="G32" s="3">
        <v>61124</v>
      </c>
    </row>
    <row r="33" spans="2:7" ht="23.25" hidden="1" thickBot="1">
      <c r="B33" s="4" t="s">
        <v>127</v>
      </c>
      <c r="C33" s="4" t="s">
        <v>126</v>
      </c>
      <c r="D33" s="4" t="s">
        <v>146</v>
      </c>
      <c r="E33" s="4" t="s">
        <v>145</v>
      </c>
      <c r="F33" s="3">
        <v>1.137511634</v>
      </c>
      <c r="G33" s="3">
        <v>89759</v>
      </c>
    </row>
    <row r="34" spans="2:7" ht="15.75" thickBot="1">
      <c r="B34" s="12" t="s">
        <v>150</v>
      </c>
      <c r="C34" s="4" t="s">
        <v>149</v>
      </c>
      <c r="D34" s="4" t="s">
        <v>30</v>
      </c>
      <c r="E34" s="4" t="s">
        <v>29</v>
      </c>
      <c r="F34" s="3">
        <v>2.814057193</v>
      </c>
      <c r="G34" s="3">
        <v>1061732</v>
      </c>
    </row>
    <row r="35" spans="2:7" ht="15.75" thickBot="1">
      <c r="B35" s="12" t="s">
        <v>150</v>
      </c>
      <c r="C35" s="4" t="s">
        <v>149</v>
      </c>
      <c r="D35" s="4" t="s">
        <v>34</v>
      </c>
      <c r="E35" s="4" t="s">
        <v>33</v>
      </c>
      <c r="F35" s="3">
        <v>0.29625560499999998</v>
      </c>
      <c r="G35" s="3">
        <v>111776</v>
      </c>
    </row>
    <row r="36" spans="2:7" ht="15.75" thickBot="1">
      <c r="B36" s="12" t="s">
        <v>150</v>
      </c>
      <c r="C36" s="4" t="s">
        <v>149</v>
      </c>
      <c r="D36" s="4" t="s">
        <v>38</v>
      </c>
      <c r="E36" s="4" t="s">
        <v>37</v>
      </c>
      <c r="F36" s="3">
        <v>9.0431660999999997E-2</v>
      </c>
      <c r="G36" s="3">
        <v>25944</v>
      </c>
    </row>
    <row r="37" spans="2:7" ht="15.75" thickBot="1">
      <c r="B37" s="12" t="s">
        <v>150</v>
      </c>
      <c r="C37" s="4" t="s">
        <v>149</v>
      </c>
      <c r="D37" s="4" t="s">
        <v>42</v>
      </c>
      <c r="E37" s="4" t="s">
        <v>41</v>
      </c>
      <c r="F37" s="3">
        <v>1.2255540000000001E-2</v>
      </c>
      <c r="G37" s="3">
        <v>3516</v>
      </c>
    </row>
    <row r="38" spans="2:7" ht="15.75" hidden="1" thickBot="1">
      <c r="B38" s="4" t="s">
        <v>152</v>
      </c>
      <c r="C38" s="4" t="s">
        <v>151</v>
      </c>
      <c r="D38" s="4" t="s">
        <v>154</v>
      </c>
      <c r="E38" s="4" t="s">
        <v>153</v>
      </c>
      <c r="F38" s="3">
        <v>10.388497644999999</v>
      </c>
      <c r="G38" s="3">
        <v>30312</v>
      </c>
    </row>
    <row r="39" spans="2:7" ht="15.75" hidden="1" thickBot="1">
      <c r="B39" s="4" t="s">
        <v>152</v>
      </c>
      <c r="C39" s="4" t="s">
        <v>151</v>
      </c>
      <c r="D39" s="4" t="s">
        <v>158</v>
      </c>
      <c r="E39" s="4" t="s">
        <v>157</v>
      </c>
      <c r="F39" s="3">
        <v>33.855151468999999</v>
      </c>
      <c r="G39" s="3">
        <v>98784</v>
      </c>
    </row>
    <row r="40" spans="2:7" ht="15.75" hidden="1" thickBot="1">
      <c r="B40" s="4" t="s">
        <v>152</v>
      </c>
      <c r="C40" s="4" t="s">
        <v>151</v>
      </c>
      <c r="D40" s="4" t="s">
        <v>20</v>
      </c>
      <c r="E40" s="4" t="s">
        <v>19</v>
      </c>
      <c r="F40" s="3">
        <v>11.185015591000001</v>
      </c>
      <c r="G40" s="3">
        <v>50669</v>
      </c>
    </row>
    <row r="41" spans="2:7" ht="15.75" hidden="1" thickBot="1">
      <c r="B41" s="4" t="s">
        <v>152</v>
      </c>
      <c r="C41" s="4" t="s">
        <v>151</v>
      </c>
      <c r="D41" s="4" t="s">
        <v>25</v>
      </c>
      <c r="E41" s="4" t="s">
        <v>24</v>
      </c>
      <c r="F41" s="3">
        <v>5.7169345629999997</v>
      </c>
      <c r="G41" s="3">
        <v>21936</v>
      </c>
    </row>
    <row r="42" spans="2:7" ht="15.75" hidden="1" thickBot="1">
      <c r="B42" s="4" t="s">
        <v>152</v>
      </c>
      <c r="C42" s="4" t="s">
        <v>151</v>
      </c>
      <c r="D42" s="4" t="s">
        <v>162</v>
      </c>
      <c r="E42" s="4" t="s">
        <v>161</v>
      </c>
      <c r="F42" s="3">
        <v>90.794126754000004</v>
      </c>
      <c r="G42" s="3">
        <v>190030</v>
      </c>
    </row>
    <row r="43" spans="2:7" ht="15.75" hidden="1" thickBot="1">
      <c r="B43" s="4" t="s">
        <v>152</v>
      </c>
      <c r="C43" s="4" t="s">
        <v>151</v>
      </c>
      <c r="D43" s="4" t="s">
        <v>166</v>
      </c>
      <c r="E43" s="4" t="s">
        <v>165</v>
      </c>
      <c r="F43" s="3">
        <v>32.891907983000003</v>
      </c>
      <c r="G43" s="3">
        <v>68842</v>
      </c>
    </row>
    <row r="44" spans="2:7" ht="15.75" hidden="1" thickBot="1">
      <c r="B44" s="4" t="s">
        <v>152</v>
      </c>
      <c r="C44" s="4" t="s">
        <v>151</v>
      </c>
      <c r="D44" s="4" t="s">
        <v>170</v>
      </c>
      <c r="E44" s="4" t="s">
        <v>169</v>
      </c>
      <c r="F44" s="3">
        <v>5.4451191129999996</v>
      </c>
      <c r="G44" s="3">
        <v>15888</v>
      </c>
    </row>
    <row r="45" spans="2:7" ht="15.75" hidden="1" thickBot="1">
      <c r="B45" s="4" t="s">
        <v>152</v>
      </c>
      <c r="C45" s="4" t="s">
        <v>151</v>
      </c>
      <c r="D45" s="4" t="s">
        <v>175</v>
      </c>
      <c r="E45" s="4" t="s">
        <v>174</v>
      </c>
      <c r="F45" s="3">
        <v>4.9212203629999998</v>
      </c>
      <c r="G45" s="3">
        <v>10300</v>
      </c>
    </row>
    <row r="46" spans="2:7" ht="15.75" hidden="1" thickBot="1">
      <c r="B46" s="4" t="s">
        <v>152</v>
      </c>
      <c r="C46" s="4" t="s">
        <v>151</v>
      </c>
      <c r="D46" s="4" t="s">
        <v>180</v>
      </c>
      <c r="E46" s="4" t="s">
        <v>179</v>
      </c>
      <c r="F46" s="3">
        <v>1.713594888</v>
      </c>
      <c r="G46" s="3">
        <v>5000</v>
      </c>
    </row>
    <row r="47" spans="2:7" ht="15.75" hidden="1" thickBot="1">
      <c r="B47" s="4" t="s">
        <v>152</v>
      </c>
      <c r="C47" s="4" t="s">
        <v>151</v>
      </c>
      <c r="D47" s="4" t="s">
        <v>184</v>
      </c>
      <c r="E47" s="4" t="s">
        <v>183</v>
      </c>
      <c r="F47" s="3">
        <v>3.7668836259999998</v>
      </c>
      <c r="G47" s="3">
        <v>7884</v>
      </c>
    </row>
    <row r="48" spans="2:7" ht="15.75" hidden="1" thickBot="1">
      <c r="B48" s="4" t="s">
        <v>152</v>
      </c>
      <c r="C48" s="4" t="s">
        <v>151</v>
      </c>
      <c r="D48" s="4" t="s">
        <v>188</v>
      </c>
      <c r="E48" s="4" t="s">
        <v>187</v>
      </c>
      <c r="F48" s="3">
        <v>7.3122521029999996</v>
      </c>
      <c r="G48" s="3">
        <v>21336</v>
      </c>
    </row>
    <row r="49" spans="2:7" ht="15.75" hidden="1" thickBot="1">
      <c r="B49" s="4" t="s">
        <v>152</v>
      </c>
      <c r="C49" s="4" t="s">
        <v>151</v>
      </c>
      <c r="D49" s="4" t="s">
        <v>192</v>
      </c>
      <c r="E49" s="4" t="s">
        <v>191</v>
      </c>
      <c r="F49" s="3">
        <v>11.788847387000001</v>
      </c>
      <c r="G49" s="3">
        <v>34398</v>
      </c>
    </row>
    <row r="50" spans="2:7" ht="15.75" hidden="1" thickBot="1">
      <c r="B50" s="4" t="s">
        <v>152</v>
      </c>
      <c r="C50" s="4" t="s">
        <v>151</v>
      </c>
      <c r="D50" s="4" t="s">
        <v>46</v>
      </c>
      <c r="E50" s="4" t="s">
        <v>45</v>
      </c>
      <c r="F50" s="3">
        <v>6.9147386859999997</v>
      </c>
      <c r="G50" s="3">
        <v>26532</v>
      </c>
    </row>
    <row r="51" spans="2:7" ht="15.75" hidden="1" thickBot="1">
      <c r="B51" s="4" t="s">
        <v>152</v>
      </c>
      <c r="C51" s="4" t="s">
        <v>151</v>
      </c>
      <c r="D51" s="4" t="s">
        <v>197</v>
      </c>
      <c r="E51" s="4" t="s">
        <v>196</v>
      </c>
      <c r="F51" s="3">
        <v>8.6974405739999998</v>
      </c>
      <c r="G51" s="3">
        <v>7770</v>
      </c>
    </row>
    <row r="52" spans="2:7" ht="15.75" hidden="1" thickBot="1">
      <c r="B52" s="4" t="s">
        <v>152</v>
      </c>
      <c r="C52" s="4" t="s">
        <v>151</v>
      </c>
      <c r="D52" s="4" t="s">
        <v>201</v>
      </c>
      <c r="E52" s="4" t="s">
        <v>200</v>
      </c>
      <c r="F52" s="3">
        <v>16.754845370000002</v>
      </c>
      <c r="G52" s="3">
        <v>48888</v>
      </c>
    </row>
    <row r="53" spans="2:7" ht="15.75" hidden="1" thickBot="1">
      <c r="B53" s="4" t="s">
        <v>152</v>
      </c>
      <c r="C53" s="4" t="s">
        <v>151</v>
      </c>
      <c r="D53" s="4" t="s">
        <v>205</v>
      </c>
      <c r="E53" s="4" t="s">
        <v>204</v>
      </c>
      <c r="F53" s="3">
        <v>8.0141250050000004</v>
      </c>
      <c r="G53" s="3">
        <v>7026</v>
      </c>
    </row>
    <row r="54" spans="2:7" ht="15.75" hidden="1" thickBot="1">
      <c r="B54" s="4" t="s">
        <v>152</v>
      </c>
      <c r="C54" s="4" t="s">
        <v>151</v>
      </c>
      <c r="D54" s="4" t="s">
        <v>209</v>
      </c>
      <c r="E54" s="4" t="s">
        <v>208</v>
      </c>
      <c r="F54" s="3">
        <v>1.2900286379999999</v>
      </c>
      <c r="G54" s="3">
        <v>2700</v>
      </c>
    </row>
    <row r="55" spans="2:7" ht="15.75" hidden="1" thickBot="1">
      <c r="B55" s="4" t="s">
        <v>152</v>
      </c>
      <c r="C55" s="4" t="s">
        <v>151</v>
      </c>
      <c r="D55" s="4" t="s">
        <v>213</v>
      </c>
      <c r="E55" s="4" t="s">
        <v>212</v>
      </c>
      <c r="F55" s="3">
        <v>41.742486016000001</v>
      </c>
      <c r="G55" s="3">
        <v>121798</v>
      </c>
    </row>
    <row r="56" spans="2:7" ht="15.75" hidden="1" thickBot="1">
      <c r="B56" s="4" t="s">
        <v>152</v>
      </c>
      <c r="C56" s="4" t="s">
        <v>151</v>
      </c>
      <c r="D56" s="4" t="s">
        <v>50</v>
      </c>
      <c r="E56" s="4" t="s">
        <v>49</v>
      </c>
      <c r="F56" s="3">
        <v>3.410979191</v>
      </c>
      <c r="G56" s="3">
        <v>13088</v>
      </c>
    </row>
    <row r="57" spans="2:7" ht="15.75" hidden="1" thickBot="1">
      <c r="B57" s="4" t="s">
        <v>152</v>
      </c>
      <c r="C57" s="4" t="s">
        <v>151</v>
      </c>
      <c r="D57" s="4" t="s">
        <v>54</v>
      </c>
      <c r="E57" s="4" t="s">
        <v>53</v>
      </c>
      <c r="F57" s="3">
        <v>11.365065755</v>
      </c>
      <c r="G57" s="3">
        <v>43608</v>
      </c>
    </row>
    <row r="58" spans="2:7" ht="15.75" hidden="1" thickBot="1">
      <c r="B58" s="4" t="s">
        <v>152</v>
      </c>
      <c r="C58" s="4" t="s">
        <v>151</v>
      </c>
      <c r="D58" s="4" t="s">
        <v>58</v>
      </c>
      <c r="E58" s="4" t="s">
        <v>57</v>
      </c>
      <c r="F58" s="3">
        <v>68.675145549000007</v>
      </c>
      <c r="G58" s="3">
        <v>263508</v>
      </c>
    </row>
    <row r="59" spans="2:7" ht="15.75" hidden="1" thickBot="1">
      <c r="B59" s="4" t="s">
        <v>152</v>
      </c>
      <c r="C59" s="4" t="s">
        <v>151</v>
      </c>
      <c r="D59" s="4" t="s">
        <v>217</v>
      </c>
      <c r="E59" s="4" t="s">
        <v>216</v>
      </c>
      <c r="F59" s="3">
        <v>111.283593732</v>
      </c>
      <c r="G59" s="3">
        <v>324708</v>
      </c>
    </row>
    <row r="60" spans="2:7" ht="15.75" hidden="1" thickBot="1">
      <c r="B60" s="4" t="s">
        <v>221</v>
      </c>
      <c r="C60" s="4" t="s">
        <v>220</v>
      </c>
      <c r="D60" s="4" t="s">
        <v>223</v>
      </c>
      <c r="E60" s="4" t="s">
        <v>222</v>
      </c>
      <c r="F60" s="3">
        <v>0.65816032700000004</v>
      </c>
      <c r="G60" s="3">
        <v>24400</v>
      </c>
    </row>
    <row r="61" spans="2:7" ht="15.75" hidden="1" thickBot="1">
      <c r="B61" s="4" t="s">
        <v>221</v>
      </c>
      <c r="C61" s="4" t="s">
        <v>220</v>
      </c>
      <c r="D61" s="4" t="s">
        <v>227</v>
      </c>
      <c r="E61" s="4" t="s">
        <v>226</v>
      </c>
      <c r="F61" s="3">
        <v>0.66571298700000003</v>
      </c>
      <c r="G61" s="3">
        <v>24680</v>
      </c>
    </row>
    <row r="62" spans="2:7" ht="15.75" hidden="1" thickBot="1">
      <c r="B62" s="4" t="s">
        <v>221</v>
      </c>
      <c r="C62" s="4" t="s">
        <v>220</v>
      </c>
      <c r="D62" s="4" t="s">
        <v>231</v>
      </c>
      <c r="E62" s="4" t="s">
        <v>230</v>
      </c>
      <c r="F62" s="3">
        <v>0.456126686</v>
      </c>
      <c r="G62" s="3">
        <v>16910</v>
      </c>
    </row>
    <row r="63" spans="2:7" ht="15.75" hidden="1" thickBot="1">
      <c r="B63" s="4" t="s">
        <v>235</v>
      </c>
      <c r="C63" s="4" t="s">
        <v>234</v>
      </c>
      <c r="D63" s="4" t="s">
        <v>238</v>
      </c>
      <c r="E63" s="4" t="s">
        <v>237</v>
      </c>
      <c r="F63" s="3">
        <v>7.6590314000000007E-2</v>
      </c>
      <c r="G63" s="3">
        <v>11695</v>
      </c>
    </row>
    <row r="64" spans="2:7" ht="15.75" hidden="1" thickBot="1">
      <c r="B64" s="4" t="s">
        <v>235</v>
      </c>
      <c r="C64" s="4" t="s">
        <v>234</v>
      </c>
      <c r="D64" s="4" t="s">
        <v>154</v>
      </c>
      <c r="E64" s="4" t="s">
        <v>153</v>
      </c>
      <c r="F64" s="3">
        <v>0.11595124499999999</v>
      </c>
      <c r="G64" s="3">
        <v>30312</v>
      </c>
    </row>
    <row r="65" spans="2:7" ht="15.75" hidden="1" thickBot="1">
      <c r="B65" s="4" t="s">
        <v>235</v>
      </c>
      <c r="C65" s="4" t="s">
        <v>234</v>
      </c>
      <c r="D65" s="4" t="s">
        <v>158</v>
      </c>
      <c r="E65" s="4" t="s">
        <v>157</v>
      </c>
      <c r="F65" s="3">
        <v>0.37787436699999999</v>
      </c>
      <c r="G65" s="3">
        <v>98784</v>
      </c>
    </row>
    <row r="66" spans="2:7" ht="15.75" hidden="1" thickBot="1">
      <c r="B66" s="4" t="s">
        <v>235</v>
      </c>
      <c r="C66" s="4" t="s">
        <v>234</v>
      </c>
      <c r="D66" s="4" t="s">
        <v>242</v>
      </c>
      <c r="E66" s="4" t="s">
        <v>241</v>
      </c>
      <c r="F66" s="3">
        <v>0.12914587499999999</v>
      </c>
      <c r="G66" s="3">
        <v>19720</v>
      </c>
    </row>
    <row r="67" spans="2:7" ht="15.75" hidden="1" thickBot="1">
      <c r="B67" s="4" t="s">
        <v>235</v>
      </c>
      <c r="C67" s="4" t="s">
        <v>234</v>
      </c>
      <c r="D67" s="4" t="s">
        <v>20</v>
      </c>
      <c r="E67" s="4" t="s">
        <v>19</v>
      </c>
      <c r="F67" s="3">
        <v>0.23970623199999999</v>
      </c>
      <c r="G67" s="3">
        <v>50669</v>
      </c>
    </row>
    <row r="68" spans="2:7" ht="15.75" hidden="1" thickBot="1">
      <c r="B68" s="4" t="s">
        <v>235</v>
      </c>
      <c r="C68" s="4" t="s">
        <v>234</v>
      </c>
      <c r="D68" s="4" t="s">
        <v>25</v>
      </c>
      <c r="E68" s="4" t="s">
        <v>24</v>
      </c>
      <c r="F68" s="3">
        <v>0.10914908800000001</v>
      </c>
      <c r="G68" s="3">
        <v>21936</v>
      </c>
    </row>
    <row r="69" spans="2:7" ht="15.75" hidden="1" thickBot="1">
      <c r="B69" s="4" t="s">
        <v>235</v>
      </c>
      <c r="C69" s="4" t="s">
        <v>234</v>
      </c>
      <c r="D69" s="4" t="s">
        <v>247</v>
      </c>
      <c r="E69" s="4" t="s">
        <v>246</v>
      </c>
      <c r="F69" s="3">
        <v>0.148857084</v>
      </c>
      <c r="G69" s="3">
        <v>26016</v>
      </c>
    </row>
    <row r="70" spans="2:7" ht="15.75" hidden="1" thickBot="1">
      <c r="B70" s="4" t="s">
        <v>235</v>
      </c>
      <c r="C70" s="4" t="s">
        <v>234</v>
      </c>
      <c r="D70" s="4" t="s">
        <v>251</v>
      </c>
      <c r="E70" s="4" t="s">
        <v>250</v>
      </c>
      <c r="F70" s="3">
        <v>0.51402635500000005</v>
      </c>
      <c r="G70" s="3">
        <v>76960</v>
      </c>
    </row>
    <row r="71" spans="2:7" ht="15.75" hidden="1" thickBot="1">
      <c r="B71" s="4" t="s">
        <v>235</v>
      </c>
      <c r="C71" s="4" t="s">
        <v>234</v>
      </c>
      <c r="D71" s="4" t="s">
        <v>255</v>
      </c>
      <c r="E71" s="4" t="s">
        <v>254</v>
      </c>
      <c r="F71" s="3">
        <v>0.76141671600000005</v>
      </c>
      <c r="G71" s="3">
        <v>111312</v>
      </c>
    </row>
    <row r="72" spans="2:7" ht="15.75" hidden="1" thickBot="1">
      <c r="B72" s="4" t="s">
        <v>235</v>
      </c>
      <c r="C72" s="4" t="s">
        <v>234</v>
      </c>
      <c r="D72" s="4" t="s">
        <v>162</v>
      </c>
      <c r="E72" s="4" t="s">
        <v>161</v>
      </c>
      <c r="F72" s="3">
        <v>0.55837793000000002</v>
      </c>
      <c r="G72" s="3">
        <v>190030</v>
      </c>
    </row>
    <row r="73" spans="2:7" ht="15.75" hidden="1" thickBot="1">
      <c r="B73" s="4" t="s">
        <v>235</v>
      </c>
      <c r="C73" s="4" t="s">
        <v>234</v>
      </c>
      <c r="D73" s="4" t="s">
        <v>166</v>
      </c>
      <c r="E73" s="4" t="s">
        <v>165</v>
      </c>
      <c r="F73" s="3">
        <v>0.202283079</v>
      </c>
      <c r="G73" s="3">
        <v>68842</v>
      </c>
    </row>
    <row r="74" spans="2:7" ht="15.75" hidden="1" thickBot="1">
      <c r="B74" s="4" t="s">
        <v>235</v>
      </c>
      <c r="C74" s="4" t="s">
        <v>234</v>
      </c>
      <c r="D74" s="4" t="s">
        <v>259</v>
      </c>
      <c r="E74" s="4" t="s">
        <v>258</v>
      </c>
      <c r="F74" s="3">
        <v>0.59738197999999998</v>
      </c>
      <c r="G74" s="3">
        <v>89440</v>
      </c>
    </row>
    <row r="75" spans="2:7" ht="15.75" hidden="1" thickBot="1">
      <c r="B75" s="4" t="s">
        <v>235</v>
      </c>
      <c r="C75" s="4" t="s">
        <v>234</v>
      </c>
      <c r="D75" s="4" t="s">
        <v>263</v>
      </c>
      <c r="E75" s="4" t="s">
        <v>262</v>
      </c>
      <c r="F75" s="3">
        <v>1.0775714279999999</v>
      </c>
      <c r="G75" s="3">
        <v>164880</v>
      </c>
    </row>
    <row r="76" spans="2:7" ht="15.75" hidden="1" thickBot="1">
      <c r="B76" s="4" t="s">
        <v>235</v>
      </c>
      <c r="C76" s="4" t="s">
        <v>234</v>
      </c>
      <c r="D76" s="4" t="s">
        <v>267</v>
      </c>
      <c r="E76" s="4" t="s">
        <v>266</v>
      </c>
      <c r="F76" s="3">
        <v>2.2983997079999998</v>
      </c>
      <c r="G76" s="3">
        <v>542180</v>
      </c>
    </row>
    <row r="77" spans="2:7" ht="15.75" hidden="1" thickBot="1">
      <c r="B77" s="4" t="s">
        <v>235</v>
      </c>
      <c r="C77" s="4" t="s">
        <v>234</v>
      </c>
      <c r="D77" s="4" t="s">
        <v>170</v>
      </c>
      <c r="E77" s="4" t="s">
        <v>169</v>
      </c>
      <c r="F77" s="3">
        <v>6.0775712000000003E-2</v>
      </c>
      <c r="G77" s="3">
        <v>15888</v>
      </c>
    </row>
    <row r="78" spans="2:7" ht="15.75" hidden="1" thickBot="1">
      <c r="B78" s="4" t="s">
        <v>235</v>
      </c>
      <c r="C78" s="4" t="s">
        <v>234</v>
      </c>
      <c r="D78" s="4" t="s">
        <v>175</v>
      </c>
      <c r="E78" s="4" t="s">
        <v>174</v>
      </c>
      <c r="F78" s="3">
        <v>3.0265183000000001E-2</v>
      </c>
      <c r="G78" s="3">
        <v>10300</v>
      </c>
    </row>
    <row r="79" spans="2:7" ht="15.75" hidden="1" thickBot="1">
      <c r="B79" s="4" t="s">
        <v>235</v>
      </c>
      <c r="C79" s="4" t="s">
        <v>234</v>
      </c>
      <c r="D79" s="4" t="s">
        <v>180</v>
      </c>
      <c r="E79" s="4" t="s">
        <v>179</v>
      </c>
      <c r="F79" s="3">
        <v>1.9126293999999999E-2</v>
      </c>
      <c r="G79" s="3">
        <v>5000</v>
      </c>
    </row>
    <row r="80" spans="2:7" ht="15.75" hidden="1" thickBot="1">
      <c r="B80" s="4" t="s">
        <v>235</v>
      </c>
      <c r="C80" s="4" t="s">
        <v>234</v>
      </c>
      <c r="D80" s="4" t="s">
        <v>184</v>
      </c>
      <c r="E80" s="4" t="s">
        <v>183</v>
      </c>
      <c r="F80" s="3">
        <v>2.3166088000000001E-2</v>
      </c>
      <c r="G80" s="3">
        <v>7884</v>
      </c>
    </row>
    <row r="81" spans="2:7" ht="15.75" hidden="1" thickBot="1">
      <c r="B81" s="4" t="s">
        <v>235</v>
      </c>
      <c r="C81" s="4" t="s">
        <v>234</v>
      </c>
      <c r="D81" s="4" t="s">
        <v>271</v>
      </c>
      <c r="E81" s="4" t="s">
        <v>270</v>
      </c>
      <c r="F81" s="3">
        <v>0.57093259900000004</v>
      </c>
      <c r="G81" s="3">
        <v>85480</v>
      </c>
    </row>
    <row r="82" spans="2:7" ht="15.75" hidden="1" thickBot="1">
      <c r="B82" s="4" t="s">
        <v>235</v>
      </c>
      <c r="C82" s="4" t="s">
        <v>234</v>
      </c>
      <c r="D82" s="4" t="s">
        <v>188</v>
      </c>
      <c r="E82" s="4" t="s">
        <v>187</v>
      </c>
      <c r="F82" s="3">
        <v>8.1615722000000002E-2</v>
      </c>
      <c r="G82" s="3">
        <v>21336</v>
      </c>
    </row>
    <row r="83" spans="2:7" ht="15.75" hidden="1" thickBot="1">
      <c r="B83" s="4" t="s">
        <v>235</v>
      </c>
      <c r="C83" s="4" t="s">
        <v>234</v>
      </c>
      <c r="D83" s="4" t="s">
        <v>275</v>
      </c>
      <c r="E83" s="4" t="s">
        <v>274</v>
      </c>
      <c r="F83" s="3">
        <v>1.577699645</v>
      </c>
      <c r="G83" s="3">
        <v>256992</v>
      </c>
    </row>
    <row r="84" spans="2:7" ht="15.75" hidden="1" thickBot="1">
      <c r="B84" s="4" t="s">
        <v>235</v>
      </c>
      <c r="C84" s="4" t="s">
        <v>234</v>
      </c>
      <c r="D84" s="4" t="s">
        <v>279</v>
      </c>
      <c r="E84" s="4" t="s">
        <v>278</v>
      </c>
      <c r="F84" s="3">
        <v>0.95852096099999995</v>
      </c>
      <c r="G84" s="3">
        <v>146664</v>
      </c>
    </row>
    <row r="85" spans="2:7" ht="15.75" hidden="1" thickBot="1">
      <c r="B85" s="4" t="s">
        <v>235</v>
      </c>
      <c r="C85" s="4" t="s">
        <v>234</v>
      </c>
      <c r="D85" s="4" t="s">
        <v>192</v>
      </c>
      <c r="E85" s="4" t="s">
        <v>191</v>
      </c>
      <c r="F85" s="3">
        <v>0.13158125300000001</v>
      </c>
      <c r="G85" s="3">
        <v>34398</v>
      </c>
    </row>
    <row r="86" spans="2:7" ht="15.75" hidden="1" thickBot="1">
      <c r="B86" s="4" t="s">
        <v>235</v>
      </c>
      <c r="C86" s="4" t="s">
        <v>234</v>
      </c>
      <c r="D86" s="4" t="s">
        <v>46</v>
      </c>
      <c r="E86" s="4" t="s">
        <v>45</v>
      </c>
      <c r="F86" s="3">
        <v>0.13201785099999999</v>
      </c>
      <c r="G86" s="3">
        <v>26532</v>
      </c>
    </row>
    <row r="87" spans="2:7" ht="15.75" hidden="1" thickBot="1">
      <c r="B87" s="4" t="s">
        <v>235</v>
      </c>
      <c r="C87" s="4" t="s">
        <v>234</v>
      </c>
      <c r="D87" s="4" t="s">
        <v>201</v>
      </c>
      <c r="E87" s="4" t="s">
        <v>200</v>
      </c>
      <c r="F87" s="3">
        <v>0.18700925299999999</v>
      </c>
      <c r="G87" s="3">
        <v>48888</v>
      </c>
    </row>
    <row r="88" spans="2:7" ht="15.75" hidden="1" thickBot="1">
      <c r="B88" s="4" t="s">
        <v>235</v>
      </c>
      <c r="C88" s="4" t="s">
        <v>234</v>
      </c>
      <c r="D88" s="4" t="s">
        <v>209</v>
      </c>
      <c r="E88" s="4" t="s">
        <v>208</v>
      </c>
      <c r="F88" s="3">
        <v>7.9335919999999997E-3</v>
      </c>
      <c r="G88" s="3">
        <v>2700</v>
      </c>
    </row>
    <row r="89" spans="2:7" ht="15.75" hidden="1" thickBot="1">
      <c r="B89" s="4" t="s">
        <v>235</v>
      </c>
      <c r="C89" s="4" t="s">
        <v>234</v>
      </c>
      <c r="D89" s="4" t="s">
        <v>213</v>
      </c>
      <c r="E89" s="4" t="s">
        <v>212</v>
      </c>
      <c r="F89" s="3">
        <v>0.465908873</v>
      </c>
      <c r="G89" s="3">
        <v>121798</v>
      </c>
    </row>
    <row r="90" spans="2:7" ht="15.75" hidden="1" thickBot="1">
      <c r="B90" s="4" t="s">
        <v>235</v>
      </c>
      <c r="C90" s="4" t="s">
        <v>234</v>
      </c>
      <c r="D90" s="4" t="s">
        <v>50</v>
      </c>
      <c r="E90" s="4" t="s">
        <v>49</v>
      </c>
      <c r="F90" s="3">
        <v>6.5123234000000002E-2</v>
      </c>
      <c r="G90" s="3">
        <v>13088</v>
      </c>
    </row>
    <row r="91" spans="2:7" ht="15.75" hidden="1" thickBot="1">
      <c r="B91" s="4" t="s">
        <v>235</v>
      </c>
      <c r="C91" s="4" t="s">
        <v>234</v>
      </c>
      <c r="D91" s="4" t="s">
        <v>54</v>
      </c>
      <c r="E91" s="4" t="s">
        <v>53</v>
      </c>
      <c r="F91" s="3">
        <v>0.21698456399999999</v>
      </c>
      <c r="G91" s="3">
        <v>43608</v>
      </c>
    </row>
    <row r="92" spans="2:7" ht="15.75" hidden="1" thickBot="1">
      <c r="B92" s="4" t="s">
        <v>235</v>
      </c>
      <c r="C92" s="4" t="s">
        <v>234</v>
      </c>
      <c r="D92" s="4" t="s">
        <v>283</v>
      </c>
      <c r="E92" s="4" t="s">
        <v>282</v>
      </c>
      <c r="F92" s="3">
        <v>0.133353267</v>
      </c>
      <c r="G92" s="3">
        <v>19495</v>
      </c>
    </row>
    <row r="93" spans="2:7" ht="15.75" hidden="1" thickBot="1">
      <c r="B93" s="4" t="s">
        <v>235</v>
      </c>
      <c r="C93" s="4" t="s">
        <v>234</v>
      </c>
      <c r="D93" s="4" t="s">
        <v>58</v>
      </c>
      <c r="E93" s="4" t="s">
        <v>57</v>
      </c>
      <c r="F93" s="3">
        <v>1.311162369</v>
      </c>
      <c r="G93" s="3">
        <v>263508</v>
      </c>
    </row>
    <row r="94" spans="2:7" ht="15.75" hidden="1" thickBot="1">
      <c r="B94" s="4" t="s">
        <v>235</v>
      </c>
      <c r="C94" s="4" t="s">
        <v>234</v>
      </c>
      <c r="D94" s="4" t="s">
        <v>217</v>
      </c>
      <c r="E94" s="4" t="s">
        <v>216</v>
      </c>
      <c r="F94" s="3">
        <v>1.2420921380000001</v>
      </c>
      <c r="G94" s="3">
        <v>324708</v>
      </c>
    </row>
    <row r="95" spans="2:7" ht="15.75" hidden="1" thickBot="1">
      <c r="B95" s="4" t="s">
        <v>288</v>
      </c>
      <c r="C95" s="4" t="s">
        <v>287</v>
      </c>
      <c r="D95" s="4" t="s">
        <v>290</v>
      </c>
      <c r="E95" s="4" t="s">
        <v>289</v>
      </c>
      <c r="F95" s="3">
        <v>0.66100000000000003</v>
      </c>
      <c r="G95" s="3">
        <v>7328</v>
      </c>
    </row>
    <row r="96" spans="2:7" ht="15.75" hidden="1" thickBot="1">
      <c r="B96" s="4" t="s">
        <v>294</v>
      </c>
      <c r="C96" s="4" t="s">
        <v>293</v>
      </c>
      <c r="D96" s="4" t="s">
        <v>197</v>
      </c>
      <c r="E96" s="4" t="s">
        <v>196</v>
      </c>
      <c r="F96" s="3">
        <v>1.9798267890000001</v>
      </c>
      <c r="G96" s="3">
        <v>7770</v>
      </c>
    </row>
    <row r="97" spans="2:7" ht="15.75" hidden="1" thickBot="1">
      <c r="B97" s="4" t="s">
        <v>294</v>
      </c>
      <c r="C97" s="4" t="s">
        <v>293</v>
      </c>
      <c r="D97" s="4" t="s">
        <v>205</v>
      </c>
      <c r="E97" s="4" t="s">
        <v>204</v>
      </c>
      <c r="F97" s="3">
        <v>1.8251732110000001</v>
      </c>
      <c r="G97" s="3">
        <v>7026</v>
      </c>
    </row>
    <row r="98" spans="2:7" ht="15.75" hidden="1" thickBot="1">
      <c r="B98" s="4" t="s">
        <v>296</v>
      </c>
      <c r="C98" s="4" t="s">
        <v>295</v>
      </c>
      <c r="D98" s="4" t="s">
        <v>247</v>
      </c>
      <c r="E98" s="4" t="s">
        <v>246</v>
      </c>
      <c r="F98" s="3">
        <v>8.2819139999999999E-2</v>
      </c>
      <c r="G98" s="3">
        <v>26016</v>
      </c>
    </row>
    <row r="99" spans="2:7" ht="15.75" hidden="1" thickBot="1">
      <c r="B99" s="4" t="s">
        <v>296</v>
      </c>
      <c r="C99" s="4" t="s">
        <v>295</v>
      </c>
      <c r="D99" s="4" t="s">
        <v>251</v>
      </c>
      <c r="E99" s="4" t="s">
        <v>250</v>
      </c>
      <c r="F99" s="3">
        <v>0.285013927</v>
      </c>
      <c r="G99" s="3">
        <v>76960</v>
      </c>
    </row>
    <row r="100" spans="2:7" ht="15.75" hidden="1" thickBot="1">
      <c r="B100" s="4" t="s">
        <v>296</v>
      </c>
      <c r="C100" s="4" t="s">
        <v>295</v>
      </c>
      <c r="D100" s="4" t="s">
        <v>255</v>
      </c>
      <c r="E100" s="4" t="s">
        <v>254</v>
      </c>
      <c r="F100" s="3">
        <v>0.42295230900000003</v>
      </c>
      <c r="G100" s="3">
        <v>111312</v>
      </c>
    </row>
    <row r="101" spans="2:7" ht="15.75" hidden="1" thickBot="1">
      <c r="B101" s="4" t="s">
        <v>296</v>
      </c>
      <c r="C101" s="4" t="s">
        <v>295</v>
      </c>
      <c r="D101" s="4" t="s">
        <v>259</v>
      </c>
      <c r="E101" s="4" t="s">
        <v>258</v>
      </c>
      <c r="F101" s="3">
        <v>0.33123240199999998</v>
      </c>
      <c r="G101" s="3">
        <v>89440</v>
      </c>
    </row>
    <row r="102" spans="2:7" ht="15.75" hidden="1" thickBot="1">
      <c r="B102" s="4" t="s">
        <v>296</v>
      </c>
      <c r="C102" s="4" t="s">
        <v>295</v>
      </c>
      <c r="D102" s="4" t="s">
        <v>263</v>
      </c>
      <c r="E102" s="4" t="s">
        <v>262</v>
      </c>
      <c r="F102" s="3">
        <v>0.59802146</v>
      </c>
      <c r="G102" s="3">
        <v>164880</v>
      </c>
    </row>
    <row r="103" spans="2:7" ht="15.75" hidden="1" thickBot="1">
      <c r="B103" s="4" t="s">
        <v>296</v>
      </c>
      <c r="C103" s="4" t="s">
        <v>295</v>
      </c>
      <c r="D103" s="4" t="s">
        <v>271</v>
      </c>
      <c r="E103" s="4" t="s">
        <v>270</v>
      </c>
      <c r="F103" s="3">
        <v>0.31656692400000003</v>
      </c>
      <c r="G103" s="3">
        <v>85480</v>
      </c>
    </row>
    <row r="104" spans="2:7" ht="15.75" hidden="1" thickBot="1">
      <c r="B104" s="4" t="s">
        <v>296</v>
      </c>
      <c r="C104" s="4" t="s">
        <v>295</v>
      </c>
      <c r="D104" s="4" t="s">
        <v>275</v>
      </c>
      <c r="E104" s="4" t="s">
        <v>274</v>
      </c>
      <c r="F104" s="3">
        <v>0.87036682799999998</v>
      </c>
      <c r="G104" s="3">
        <v>256992</v>
      </c>
    </row>
    <row r="105" spans="2:7" ht="15.75" hidden="1" thickBot="1">
      <c r="B105" s="4" t="s">
        <v>296</v>
      </c>
      <c r="C105" s="4" t="s">
        <v>295</v>
      </c>
      <c r="D105" s="4" t="s">
        <v>279</v>
      </c>
      <c r="E105" s="4" t="s">
        <v>278</v>
      </c>
      <c r="F105" s="3">
        <v>0.53195183999999995</v>
      </c>
      <c r="G105" s="3">
        <v>146664</v>
      </c>
    </row>
    <row r="106" spans="2:7" ht="15.75" hidden="1" thickBot="1">
      <c r="B106" s="4" t="s">
        <v>296</v>
      </c>
      <c r="C106" s="4" t="s">
        <v>295</v>
      </c>
      <c r="D106" s="4" t="s">
        <v>283</v>
      </c>
      <c r="E106" s="4" t="s">
        <v>282</v>
      </c>
      <c r="F106" s="3">
        <v>7.4075169999999996E-2</v>
      </c>
      <c r="G106" s="3">
        <v>19495</v>
      </c>
    </row>
    <row r="107" spans="2:7" ht="15.75" hidden="1" thickBot="1">
      <c r="B107" s="4" t="s">
        <v>298</v>
      </c>
      <c r="C107" s="4" t="s">
        <v>297</v>
      </c>
      <c r="D107" s="4" t="s">
        <v>300</v>
      </c>
      <c r="E107" s="4" t="s">
        <v>299</v>
      </c>
      <c r="F107" s="3">
        <v>1.1623458999999999E-2</v>
      </c>
      <c r="G107" s="3">
        <v>3650</v>
      </c>
    </row>
    <row r="108" spans="2:7" ht="15.75" hidden="1" thickBot="1">
      <c r="B108" s="4" t="s">
        <v>298</v>
      </c>
      <c r="C108" s="4" t="s">
        <v>297</v>
      </c>
      <c r="D108" s="4" t="s">
        <v>304</v>
      </c>
      <c r="E108" s="4" t="s">
        <v>303</v>
      </c>
      <c r="F108" s="3">
        <v>1.519011E-2</v>
      </c>
      <c r="G108" s="3">
        <v>4770</v>
      </c>
    </row>
    <row r="109" spans="2:7" ht="15.75" hidden="1" thickBot="1">
      <c r="B109" s="4" t="s">
        <v>298</v>
      </c>
      <c r="C109" s="4" t="s">
        <v>297</v>
      </c>
      <c r="D109" s="4" t="s">
        <v>308</v>
      </c>
      <c r="E109" s="4" t="s">
        <v>307</v>
      </c>
      <c r="F109" s="3">
        <v>2.9584091999999999E-2</v>
      </c>
      <c r="G109" s="3">
        <v>9290</v>
      </c>
    </row>
    <row r="110" spans="2:7" ht="15.75" hidden="1" thickBot="1">
      <c r="B110" s="4" t="s">
        <v>298</v>
      </c>
      <c r="C110" s="4" t="s">
        <v>297</v>
      </c>
      <c r="D110" s="4" t="s">
        <v>312</v>
      </c>
      <c r="E110" s="4" t="s">
        <v>311</v>
      </c>
      <c r="F110" s="3">
        <v>4.6875977999999999E-2</v>
      </c>
      <c r="G110" s="3">
        <v>14720</v>
      </c>
    </row>
    <row r="111" spans="2:7" ht="15.75" hidden="1" thickBot="1">
      <c r="B111" s="4" t="s">
        <v>298</v>
      </c>
      <c r="C111" s="4" t="s">
        <v>297</v>
      </c>
      <c r="D111" s="4" t="s">
        <v>316</v>
      </c>
      <c r="E111" s="4" t="s">
        <v>315</v>
      </c>
      <c r="F111" s="3">
        <v>0.20148627299999999</v>
      </c>
      <c r="G111" s="3">
        <v>65714</v>
      </c>
    </row>
    <row r="112" spans="2:7" ht="15.75" hidden="1" thickBot="1">
      <c r="B112" s="4" t="s">
        <v>298</v>
      </c>
      <c r="C112" s="4" t="s">
        <v>297</v>
      </c>
      <c r="D112" s="4" t="s">
        <v>321</v>
      </c>
      <c r="E112" s="4" t="s">
        <v>320</v>
      </c>
      <c r="F112" s="3">
        <v>2.9615936999999998E-2</v>
      </c>
      <c r="G112" s="3">
        <v>9300</v>
      </c>
    </row>
    <row r="113" spans="2:7" ht="15.75" hidden="1" thickBot="1">
      <c r="B113" s="4" t="s">
        <v>298</v>
      </c>
      <c r="C113" s="4" t="s">
        <v>297</v>
      </c>
      <c r="D113" s="4" t="s">
        <v>325</v>
      </c>
      <c r="E113" s="4" t="s">
        <v>324</v>
      </c>
      <c r="F113" s="3">
        <v>0.11228703600000001</v>
      </c>
      <c r="G113" s="3">
        <v>36622</v>
      </c>
    </row>
    <row r="114" spans="2:7" ht="15.75" hidden="1" thickBot="1">
      <c r="B114" s="4" t="s">
        <v>298</v>
      </c>
      <c r="C114" s="4" t="s">
        <v>297</v>
      </c>
      <c r="D114" s="4" t="s">
        <v>329</v>
      </c>
      <c r="E114" s="4" t="s">
        <v>328</v>
      </c>
      <c r="F114" s="3">
        <v>5.1397982000000002E-2</v>
      </c>
      <c r="G114" s="3">
        <v>16140</v>
      </c>
    </row>
    <row r="115" spans="2:7" ht="15.75" hidden="1" thickBot="1">
      <c r="B115" s="4" t="s">
        <v>298</v>
      </c>
      <c r="C115" s="4" t="s">
        <v>297</v>
      </c>
      <c r="D115" s="4" t="s">
        <v>333</v>
      </c>
      <c r="E115" s="4" t="s">
        <v>332</v>
      </c>
      <c r="F115" s="3">
        <v>6.8880938000000003E-2</v>
      </c>
      <c r="G115" s="3">
        <v>21630</v>
      </c>
    </row>
    <row r="116" spans="2:7" ht="15.75" hidden="1" thickBot="1">
      <c r="B116" s="4" t="s">
        <v>298</v>
      </c>
      <c r="C116" s="4" t="s">
        <v>297</v>
      </c>
      <c r="D116" s="4" t="s">
        <v>337</v>
      </c>
      <c r="E116" s="4" t="s">
        <v>336</v>
      </c>
      <c r="F116" s="3">
        <v>6.5498988999999994E-2</v>
      </c>
      <c r="G116" s="3">
        <v>20568</v>
      </c>
    </row>
    <row r="117" spans="2:7" ht="15.75" hidden="1" thickBot="1">
      <c r="B117" s="4" t="s">
        <v>298</v>
      </c>
      <c r="C117" s="4" t="s">
        <v>297</v>
      </c>
      <c r="D117" s="4" t="s">
        <v>342</v>
      </c>
      <c r="E117" s="4" t="s">
        <v>341</v>
      </c>
      <c r="F117" s="3">
        <v>3.9742680000000004E-3</v>
      </c>
      <c r="G117" s="3">
        <v>1248</v>
      </c>
    </row>
    <row r="118" spans="2:7" ht="15.75" hidden="1" thickBot="1">
      <c r="B118" s="4" t="s">
        <v>298</v>
      </c>
      <c r="C118" s="4" t="s">
        <v>297</v>
      </c>
      <c r="D118" s="4" t="s">
        <v>346</v>
      </c>
      <c r="E118" s="4" t="s">
        <v>345</v>
      </c>
      <c r="F118" s="3">
        <v>0.27502995899999999</v>
      </c>
      <c r="G118" s="3">
        <v>89700</v>
      </c>
    </row>
    <row r="119" spans="2:7" ht="15.75" hidden="1" thickBot="1">
      <c r="B119" s="4" t="s">
        <v>298</v>
      </c>
      <c r="C119" s="4" t="s">
        <v>297</v>
      </c>
      <c r="D119" s="4" t="s">
        <v>350</v>
      </c>
      <c r="E119" s="4" t="s">
        <v>349</v>
      </c>
      <c r="F119" s="3">
        <v>1.8119783190000001</v>
      </c>
      <c r="G119" s="3">
        <v>590970</v>
      </c>
    </row>
    <row r="120" spans="2:7" ht="15.75" hidden="1" thickBot="1">
      <c r="B120" s="4" t="s">
        <v>298</v>
      </c>
      <c r="C120" s="4" t="s">
        <v>297</v>
      </c>
      <c r="D120" s="4" t="s">
        <v>354</v>
      </c>
      <c r="E120" s="4" t="s">
        <v>353</v>
      </c>
      <c r="F120" s="3">
        <v>0.50670514</v>
      </c>
      <c r="G120" s="3">
        <v>165260</v>
      </c>
    </row>
    <row r="121" spans="2:7" ht="15.75" hidden="1" thickBot="1">
      <c r="B121" s="4" t="s">
        <v>298</v>
      </c>
      <c r="C121" s="4" t="s">
        <v>297</v>
      </c>
      <c r="D121" s="4" t="s">
        <v>358</v>
      </c>
      <c r="E121" s="4" t="s">
        <v>357</v>
      </c>
      <c r="F121" s="3">
        <v>1.130596959</v>
      </c>
      <c r="G121" s="3">
        <v>368740</v>
      </c>
    </row>
    <row r="122" spans="2:7" ht="15.75" hidden="1" thickBot="1">
      <c r="B122" s="4" t="s">
        <v>298</v>
      </c>
      <c r="C122" s="4" t="s">
        <v>297</v>
      </c>
      <c r="D122" s="4" t="s">
        <v>362</v>
      </c>
      <c r="E122" s="4" t="s">
        <v>361</v>
      </c>
      <c r="F122" s="3">
        <v>0.56060733299999999</v>
      </c>
      <c r="G122" s="3">
        <v>182840</v>
      </c>
    </row>
    <row r="123" spans="2:7" ht="15.75" hidden="1" thickBot="1">
      <c r="B123" s="4" t="s">
        <v>298</v>
      </c>
      <c r="C123" s="4" t="s">
        <v>297</v>
      </c>
      <c r="D123" s="4" t="s">
        <v>366</v>
      </c>
      <c r="E123" s="4" t="s">
        <v>365</v>
      </c>
      <c r="F123" s="3">
        <v>0.23872723000000001</v>
      </c>
      <c r="G123" s="3">
        <v>77860</v>
      </c>
    </row>
    <row r="124" spans="2:7" ht="15.75" hidden="1" thickBot="1">
      <c r="B124" s="4" t="s">
        <v>298</v>
      </c>
      <c r="C124" s="4" t="s">
        <v>297</v>
      </c>
      <c r="D124" s="4" t="s">
        <v>370</v>
      </c>
      <c r="E124" s="4" t="s">
        <v>369</v>
      </c>
      <c r="F124" s="3">
        <v>0.48713110100000001</v>
      </c>
      <c r="G124" s="3">
        <v>158876</v>
      </c>
    </row>
    <row r="125" spans="2:7" ht="15.75" hidden="1" thickBot="1">
      <c r="B125" s="4" t="s">
        <v>298</v>
      </c>
      <c r="C125" s="4" t="s">
        <v>297</v>
      </c>
      <c r="D125" s="4" t="s">
        <v>374</v>
      </c>
      <c r="E125" s="4" t="s">
        <v>373</v>
      </c>
      <c r="F125" s="3">
        <v>0.10510621000000001</v>
      </c>
      <c r="G125" s="3">
        <v>34280</v>
      </c>
    </row>
    <row r="126" spans="2:7" ht="15.75" hidden="1" thickBot="1">
      <c r="B126" s="4" t="s">
        <v>298</v>
      </c>
      <c r="C126" s="4" t="s">
        <v>297</v>
      </c>
      <c r="D126" s="4" t="s">
        <v>378</v>
      </c>
      <c r="E126" s="4" t="s">
        <v>377</v>
      </c>
      <c r="F126" s="3">
        <v>6.1690109E-2</v>
      </c>
      <c r="G126" s="3">
        <v>20120</v>
      </c>
    </row>
    <row r="127" spans="2:7" ht="15.75" hidden="1" thickBot="1">
      <c r="B127" s="4" t="s">
        <v>298</v>
      </c>
      <c r="C127" s="4" t="s">
        <v>297</v>
      </c>
      <c r="D127" s="4" t="s">
        <v>382</v>
      </c>
      <c r="E127" s="4" t="s">
        <v>381</v>
      </c>
      <c r="F127" s="3">
        <v>6.2425975000000002E-2</v>
      </c>
      <c r="G127" s="3">
        <v>20360</v>
      </c>
    </row>
    <row r="128" spans="2:7" ht="15.75" hidden="1" thickBot="1">
      <c r="B128" s="4" t="s">
        <v>298</v>
      </c>
      <c r="C128" s="4" t="s">
        <v>297</v>
      </c>
      <c r="D128" s="4" t="s">
        <v>386</v>
      </c>
      <c r="E128" s="4" t="s">
        <v>385</v>
      </c>
      <c r="F128" s="3">
        <v>8.0822627999999994E-2</v>
      </c>
      <c r="G128" s="3">
        <v>26360</v>
      </c>
    </row>
    <row r="129" spans="2:7" ht="15.75" hidden="1" thickBot="1">
      <c r="B129" s="4" t="s">
        <v>298</v>
      </c>
      <c r="C129" s="4" t="s">
        <v>297</v>
      </c>
      <c r="D129" s="4" t="s">
        <v>390</v>
      </c>
      <c r="E129" s="4" t="s">
        <v>389</v>
      </c>
      <c r="F129" s="3">
        <v>3.8669765000000002E-2</v>
      </c>
      <c r="G129" s="3">
        <v>12612</v>
      </c>
    </row>
    <row r="130" spans="2:7" ht="15.75" hidden="1" thickBot="1">
      <c r="B130" s="4" t="s">
        <v>298</v>
      </c>
      <c r="C130" s="4" t="s">
        <v>297</v>
      </c>
      <c r="D130" s="4" t="s">
        <v>394</v>
      </c>
      <c r="E130" s="4" t="s">
        <v>393</v>
      </c>
      <c r="F130" s="3">
        <v>6.5124150000000006E-2</v>
      </c>
      <c r="G130" s="3">
        <v>21240</v>
      </c>
    </row>
    <row r="131" spans="2:7" ht="15.75" hidden="1" thickBot="1">
      <c r="B131" s="4" t="s">
        <v>298</v>
      </c>
      <c r="C131" s="4" t="s">
        <v>297</v>
      </c>
      <c r="D131" s="4" t="s">
        <v>398</v>
      </c>
      <c r="E131" s="4" t="s">
        <v>397</v>
      </c>
      <c r="F131" s="3">
        <v>9.4006894999999993E-2</v>
      </c>
      <c r="G131" s="3">
        <v>30660</v>
      </c>
    </row>
    <row r="132" spans="2:7" ht="15.75" hidden="1" thickBot="1">
      <c r="B132" s="4" t="s">
        <v>298</v>
      </c>
      <c r="C132" s="4" t="s">
        <v>297</v>
      </c>
      <c r="D132" s="4" t="s">
        <v>402</v>
      </c>
      <c r="E132" s="4" t="s">
        <v>401</v>
      </c>
      <c r="F132" s="3">
        <v>0.34266832000000003</v>
      </c>
      <c r="G132" s="3">
        <v>111760</v>
      </c>
    </row>
    <row r="133" spans="2:7" ht="15.75" hidden="1" thickBot="1">
      <c r="B133" s="4" t="s">
        <v>298</v>
      </c>
      <c r="C133" s="4" t="s">
        <v>297</v>
      </c>
      <c r="D133" s="4" t="s">
        <v>406</v>
      </c>
      <c r="E133" s="4" t="s">
        <v>405</v>
      </c>
      <c r="F133" s="3">
        <v>0.152140319</v>
      </c>
      <c r="G133" s="3">
        <v>49620</v>
      </c>
    </row>
    <row r="134" spans="2:7" ht="15.75" hidden="1" thickBot="1">
      <c r="B134" s="4" t="s">
        <v>298</v>
      </c>
      <c r="C134" s="4" t="s">
        <v>297</v>
      </c>
      <c r="D134" s="4" t="s">
        <v>410</v>
      </c>
      <c r="E134" s="4" t="s">
        <v>409</v>
      </c>
      <c r="F134" s="3">
        <v>0.28257258800000001</v>
      </c>
      <c r="G134" s="3">
        <v>92160</v>
      </c>
    </row>
    <row r="135" spans="2:7" ht="15.75" hidden="1" thickBot="1">
      <c r="B135" s="4" t="s">
        <v>298</v>
      </c>
      <c r="C135" s="4" t="s">
        <v>297</v>
      </c>
      <c r="D135" s="4" t="s">
        <v>414</v>
      </c>
      <c r="E135" s="4" t="s">
        <v>413</v>
      </c>
      <c r="F135" s="3">
        <v>0.20151693400000001</v>
      </c>
      <c r="G135" s="3">
        <v>65724</v>
      </c>
    </row>
    <row r="136" spans="2:7" ht="15.75" hidden="1" thickBot="1">
      <c r="B136" s="4" t="s">
        <v>298</v>
      </c>
      <c r="C136" s="4" t="s">
        <v>297</v>
      </c>
      <c r="D136" s="4" t="s">
        <v>418</v>
      </c>
      <c r="E136" s="4" t="s">
        <v>417</v>
      </c>
      <c r="F136" s="3">
        <v>0.129769989</v>
      </c>
      <c r="G136" s="3">
        <v>42324</v>
      </c>
    </row>
    <row r="137" spans="2:7" ht="15.75" hidden="1" thickBot="1">
      <c r="B137" s="4" t="s">
        <v>298</v>
      </c>
      <c r="C137" s="4" t="s">
        <v>297</v>
      </c>
      <c r="D137" s="4" t="s">
        <v>422</v>
      </c>
      <c r="E137" s="4" t="s">
        <v>421</v>
      </c>
      <c r="F137" s="3">
        <v>4.4556693000000001E-2</v>
      </c>
      <c r="G137" s="3">
        <v>14532</v>
      </c>
    </row>
    <row r="138" spans="2:7" ht="15.75" hidden="1" thickBot="1">
      <c r="B138" s="4" t="s">
        <v>298</v>
      </c>
      <c r="C138" s="4" t="s">
        <v>297</v>
      </c>
      <c r="D138" s="4" t="s">
        <v>426</v>
      </c>
      <c r="E138" s="4" t="s">
        <v>425</v>
      </c>
      <c r="F138" s="3">
        <v>5.7348498999999997E-2</v>
      </c>
      <c r="G138" s="3">
        <v>18704</v>
      </c>
    </row>
    <row r="139" spans="2:7" ht="15.75" hidden="1" thickBot="1">
      <c r="B139" s="4" t="s">
        <v>298</v>
      </c>
      <c r="C139" s="4" t="s">
        <v>297</v>
      </c>
      <c r="D139" s="4" t="s">
        <v>430</v>
      </c>
      <c r="E139" s="4" t="s">
        <v>429</v>
      </c>
      <c r="F139" s="3">
        <v>5.5656007E-2</v>
      </c>
      <c r="G139" s="3">
        <v>18152</v>
      </c>
    </row>
    <row r="140" spans="2:7" ht="15.75" hidden="1" thickBot="1">
      <c r="B140" s="4" t="s">
        <v>298</v>
      </c>
      <c r="C140" s="4" t="s">
        <v>297</v>
      </c>
      <c r="D140" s="4" t="s">
        <v>434</v>
      </c>
      <c r="E140" s="4" t="s">
        <v>433</v>
      </c>
      <c r="F140" s="3">
        <v>0.104542046</v>
      </c>
      <c r="G140" s="3">
        <v>34096</v>
      </c>
    </row>
    <row r="141" spans="2:7" ht="15.75" hidden="1" thickBot="1">
      <c r="B141" s="4" t="s">
        <v>298</v>
      </c>
      <c r="C141" s="4" t="s">
        <v>297</v>
      </c>
      <c r="D141" s="4" t="s">
        <v>438</v>
      </c>
      <c r="E141" s="4" t="s">
        <v>437</v>
      </c>
      <c r="F141" s="3">
        <v>0.13319176599999999</v>
      </c>
      <c r="G141" s="3">
        <v>43440</v>
      </c>
    </row>
    <row r="142" spans="2:7" ht="15.75" hidden="1" thickBot="1">
      <c r="B142" s="4" t="s">
        <v>442</v>
      </c>
      <c r="C142" s="4" t="s">
        <v>441</v>
      </c>
      <c r="D142" s="4" t="s">
        <v>444</v>
      </c>
      <c r="E142" s="4" t="s">
        <v>443</v>
      </c>
      <c r="F142" s="3">
        <v>0.234359187</v>
      </c>
      <c r="G142" s="3">
        <v>74880</v>
      </c>
    </row>
    <row r="143" spans="2:7" ht="15.75" hidden="1" thickBot="1">
      <c r="B143" s="4" t="s">
        <v>442</v>
      </c>
      <c r="C143" s="4" t="s">
        <v>441</v>
      </c>
      <c r="D143" s="4" t="s">
        <v>448</v>
      </c>
      <c r="E143" s="4" t="s">
        <v>447</v>
      </c>
      <c r="F143" s="3">
        <v>0.30331487099999999</v>
      </c>
      <c r="G143" s="3">
        <v>96912</v>
      </c>
    </row>
    <row r="144" spans="2:7" ht="15.75" hidden="1" thickBot="1">
      <c r="B144" s="4" t="s">
        <v>442</v>
      </c>
      <c r="C144" s="4" t="s">
        <v>441</v>
      </c>
      <c r="D144" s="4" t="s">
        <v>452</v>
      </c>
      <c r="E144" s="4" t="s">
        <v>451</v>
      </c>
      <c r="F144" s="3">
        <v>4.7848331000000001E-2</v>
      </c>
      <c r="G144" s="3">
        <v>13496</v>
      </c>
    </row>
    <row r="145" spans="2:7" ht="15.75" hidden="1" thickBot="1">
      <c r="B145" s="4" t="s">
        <v>442</v>
      </c>
      <c r="C145" s="4" t="s">
        <v>441</v>
      </c>
      <c r="D145" s="4" t="s">
        <v>456</v>
      </c>
      <c r="E145" s="4" t="s">
        <v>455</v>
      </c>
      <c r="F145" s="3">
        <v>7.5644042999999994E-2</v>
      </c>
      <c r="G145" s="3">
        <v>21336</v>
      </c>
    </row>
    <row r="146" spans="2:7" ht="15.75" hidden="1" thickBot="1">
      <c r="B146" s="4" t="s">
        <v>442</v>
      </c>
      <c r="C146" s="4" t="s">
        <v>441</v>
      </c>
      <c r="D146" s="4" t="s">
        <v>459</v>
      </c>
      <c r="E146" s="4" t="s">
        <v>458</v>
      </c>
      <c r="F146" s="3">
        <v>4.7323615999999999E-2</v>
      </c>
      <c r="G146" s="3">
        <v>13348</v>
      </c>
    </row>
    <row r="147" spans="2:7" ht="15.75" hidden="1" thickBot="1">
      <c r="B147" s="4" t="s">
        <v>442</v>
      </c>
      <c r="C147" s="4" t="s">
        <v>441</v>
      </c>
      <c r="D147" s="4" t="s">
        <v>463</v>
      </c>
      <c r="E147" s="4" t="s">
        <v>462</v>
      </c>
      <c r="F147" s="3">
        <v>9.2179659999999993E-3</v>
      </c>
      <c r="G147" s="3">
        <v>2600</v>
      </c>
    </row>
    <row r="148" spans="2:7" ht="15.75" hidden="1" thickBot="1">
      <c r="B148" s="4" t="s">
        <v>442</v>
      </c>
      <c r="C148" s="4" t="s">
        <v>441</v>
      </c>
      <c r="D148" s="4" t="s">
        <v>467</v>
      </c>
      <c r="E148" s="4" t="s">
        <v>466</v>
      </c>
      <c r="F148" s="3">
        <v>5.1336969999999996E-3</v>
      </c>
      <c r="G148" s="3">
        <v>1448</v>
      </c>
    </row>
    <row r="149" spans="2:7" ht="15.75" hidden="1" thickBot="1">
      <c r="B149" s="4" t="s">
        <v>442</v>
      </c>
      <c r="C149" s="4" t="s">
        <v>441</v>
      </c>
      <c r="D149" s="4" t="s">
        <v>471</v>
      </c>
      <c r="E149" s="4" t="s">
        <v>470</v>
      </c>
      <c r="F149" s="3">
        <v>9.8419509999999998E-3</v>
      </c>
      <c r="G149" s="3">
        <v>2776</v>
      </c>
    </row>
    <row r="150" spans="2:7" ht="15.75" hidden="1" thickBot="1">
      <c r="B150" s="4" t="s">
        <v>442</v>
      </c>
      <c r="C150" s="4" t="s">
        <v>441</v>
      </c>
      <c r="D150" s="4" t="s">
        <v>475</v>
      </c>
      <c r="E150" s="4" t="s">
        <v>474</v>
      </c>
      <c r="F150" s="3">
        <v>5.1053339999999996E-3</v>
      </c>
      <c r="G150" s="3">
        <v>1440</v>
      </c>
    </row>
    <row r="151" spans="2:7" ht="15.75" hidden="1" thickBot="1">
      <c r="B151" s="4" t="s">
        <v>442</v>
      </c>
      <c r="C151" s="4" t="s">
        <v>441</v>
      </c>
      <c r="D151" s="4" t="s">
        <v>479</v>
      </c>
      <c r="E151" s="4" t="s">
        <v>478</v>
      </c>
      <c r="F151" s="3">
        <v>7.2492208000000002E-2</v>
      </c>
      <c r="G151" s="3">
        <v>20447</v>
      </c>
    </row>
    <row r="152" spans="2:7" ht="23.25" hidden="1" thickBot="1">
      <c r="B152" s="4" t="s">
        <v>442</v>
      </c>
      <c r="C152" s="4" t="s">
        <v>441</v>
      </c>
      <c r="D152" s="4" t="s">
        <v>483</v>
      </c>
      <c r="E152" s="4" t="s">
        <v>482</v>
      </c>
      <c r="F152" s="3">
        <v>0.189240036</v>
      </c>
      <c r="G152" s="3">
        <v>60464</v>
      </c>
    </row>
    <row r="153" spans="2:7" ht="15.75" hidden="1" thickBot="1">
      <c r="B153" s="4" t="s">
        <v>442</v>
      </c>
      <c r="C153" s="4" t="s">
        <v>441</v>
      </c>
      <c r="D153" s="4" t="s">
        <v>487</v>
      </c>
      <c r="E153" s="4" t="s">
        <v>486</v>
      </c>
      <c r="F153" s="3">
        <v>0.13729766099999999</v>
      </c>
      <c r="G153" s="3">
        <v>40048</v>
      </c>
    </row>
    <row r="154" spans="2:7" ht="15.75" hidden="1" thickBot="1">
      <c r="B154" s="4" t="s">
        <v>442</v>
      </c>
      <c r="C154" s="4" t="s">
        <v>441</v>
      </c>
      <c r="D154" s="4" t="s">
        <v>491</v>
      </c>
      <c r="E154" s="4" t="s">
        <v>490</v>
      </c>
      <c r="F154" s="3">
        <v>0.19187549800000001</v>
      </c>
      <c r="G154" s="3">
        <v>54120</v>
      </c>
    </row>
    <row r="155" spans="2:7" ht="23.25" hidden="1" thickBot="1">
      <c r="B155" s="4" t="s">
        <v>442</v>
      </c>
      <c r="C155" s="4" t="s">
        <v>441</v>
      </c>
      <c r="D155" s="4" t="s">
        <v>495</v>
      </c>
      <c r="E155" s="4" t="s">
        <v>494</v>
      </c>
      <c r="F155" s="3">
        <v>0.132964256</v>
      </c>
      <c r="G155" s="3">
        <v>38784</v>
      </c>
    </row>
    <row r="156" spans="2:7" ht="15.75" hidden="1" thickBot="1">
      <c r="B156" s="4" t="s">
        <v>442</v>
      </c>
      <c r="C156" s="4" t="s">
        <v>441</v>
      </c>
      <c r="D156" s="4" t="s">
        <v>499</v>
      </c>
      <c r="E156" s="4" t="s">
        <v>498</v>
      </c>
      <c r="F156" s="3">
        <v>0.44592632100000001</v>
      </c>
      <c r="G156" s="3">
        <v>139776</v>
      </c>
    </row>
    <row r="157" spans="2:7" ht="15.75" hidden="1" thickBot="1">
      <c r="B157" s="4" t="s">
        <v>442</v>
      </c>
      <c r="C157" s="4" t="s">
        <v>441</v>
      </c>
      <c r="D157" s="4" t="s">
        <v>503</v>
      </c>
      <c r="E157" s="4" t="s">
        <v>502</v>
      </c>
      <c r="F157" s="3">
        <v>0.30341502399999998</v>
      </c>
      <c r="G157" s="3">
        <v>96944</v>
      </c>
    </row>
    <row r="158" spans="2:7" ht="15.75" hidden="1" thickBot="1">
      <c r="B158" s="4" t="s">
        <v>507</v>
      </c>
      <c r="C158" s="4" t="s">
        <v>506</v>
      </c>
      <c r="D158" s="4" t="s">
        <v>300</v>
      </c>
      <c r="E158" s="4" t="s">
        <v>299</v>
      </c>
      <c r="F158" s="3">
        <v>0.19681965100000001</v>
      </c>
      <c r="G158" s="3">
        <v>3650</v>
      </c>
    </row>
    <row r="159" spans="2:7" ht="15.75" hidden="1" thickBot="1">
      <c r="B159" s="4" t="s">
        <v>507</v>
      </c>
      <c r="C159" s="4" t="s">
        <v>506</v>
      </c>
      <c r="D159" s="4" t="s">
        <v>304</v>
      </c>
      <c r="E159" s="4" t="s">
        <v>303</v>
      </c>
      <c r="F159" s="3">
        <v>0.257213627</v>
      </c>
      <c r="G159" s="3">
        <v>4770</v>
      </c>
    </row>
    <row r="160" spans="2:7" ht="15.75" hidden="1" thickBot="1">
      <c r="B160" s="4" t="s">
        <v>507</v>
      </c>
      <c r="C160" s="4" t="s">
        <v>506</v>
      </c>
      <c r="D160" s="4" t="s">
        <v>308</v>
      </c>
      <c r="E160" s="4" t="s">
        <v>307</v>
      </c>
      <c r="F160" s="3">
        <v>0.50094645500000001</v>
      </c>
      <c r="G160" s="3">
        <v>9290</v>
      </c>
    </row>
    <row r="161" spans="2:7" ht="15.75" hidden="1" thickBot="1">
      <c r="B161" s="4" t="s">
        <v>507</v>
      </c>
      <c r="C161" s="4" t="s">
        <v>506</v>
      </c>
      <c r="D161" s="4" t="s">
        <v>312</v>
      </c>
      <c r="E161" s="4" t="s">
        <v>311</v>
      </c>
      <c r="F161" s="3">
        <v>0.79374938900000003</v>
      </c>
      <c r="G161" s="3">
        <v>14720</v>
      </c>
    </row>
    <row r="162" spans="2:7" ht="15.75" hidden="1" thickBot="1">
      <c r="B162" s="4" t="s">
        <v>507</v>
      </c>
      <c r="C162" s="4" t="s">
        <v>506</v>
      </c>
      <c r="D162" s="4" t="s">
        <v>509</v>
      </c>
      <c r="E162" s="4" t="s">
        <v>508</v>
      </c>
      <c r="F162" s="3">
        <v>3.3892546289999999</v>
      </c>
      <c r="G162" s="3">
        <v>51486</v>
      </c>
    </row>
    <row r="163" spans="2:7" ht="15.75" hidden="1" thickBot="1">
      <c r="B163" s="4" t="s">
        <v>507</v>
      </c>
      <c r="C163" s="4" t="s">
        <v>506</v>
      </c>
      <c r="D163" s="4" t="s">
        <v>513</v>
      </c>
      <c r="E163" s="4" t="s">
        <v>512</v>
      </c>
      <c r="F163" s="3">
        <v>4.1495757050000002</v>
      </c>
      <c r="G163" s="3">
        <v>63036</v>
      </c>
    </row>
    <row r="164" spans="2:7" ht="15.75" hidden="1" thickBot="1">
      <c r="B164" s="4" t="s">
        <v>507</v>
      </c>
      <c r="C164" s="4" t="s">
        <v>506</v>
      </c>
      <c r="D164" s="4" t="s">
        <v>517</v>
      </c>
      <c r="E164" s="4" t="s">
        <v>516</v>
      </c>
      <c r="F164" s="3">
        <v>3.7810668409999999</v>
      </c>
      <c r="G164" s="3">
        <v>57438</v>
      </c>
    </row>
    <row r="165" spans="2:7" ht="15.75" hidden="1" thickBot="1">
      <c r="B165" s="4" t="s">
        <v>507</v>
      </c>
      <c r="C165" s="4" t="s">
        <v>506</v>
      </c>
      <c r="D165" s="4" t="s">
        <v>119</v>
      </c>
      <c r="E165" s="4" t="s">
        <v>118</v>
      </c>
      <c r="F165" s="3">
        <v>0.245570606</v>
      </c>
      <c r="G165" s="3">
        <v>7288</v>
      </c>
    </row>
    <row r="166" spans="2:7" ht="15.75" hidden="1" thickBot="1">
      <c r="B166" s="4" t="s">
        <v>507</v>
      </c>
      <c r="C166" s="4" t="s">
        <v>506</v>
      </c>
      <c r="D166" s="4" t="s">
        <v>123</v>
      </c>
      <c r="E166" s="4" t="s">
        <v>122</v>
      </c>
      <c r="F166" s="3">
        <v>0.26908985400000002</v>
      </c>
      <c r="G166" s="3">
        <v>7986</v>
      </c>
    </row>
    <row r="167" spans="2:7" ht="15.75" hidden="1" thickBot="1">
      <c r="B167" s="4" t="s">
        <v>507</v>
      </c>
      <c r="C167" s="4" t="s">
        <v>506</v>
      </c>
      <c r="D167" s="4" t="s">
        <v>444</v>
      </c>
      <c r="E167" s="4" t="s">
        <v>443</v>
      </c>
      <c r="F167" s="3">
        <v>3.8399293640000001</v>
      </c>
      <c r="G167" s="3">
        <v>74880</v>
      </c>
    </row>
    <row r="168" spans="2:7" ht="15.75" hidden="1" thickBot="1">
      <c r="B168" s="4" t="s">
        <v>507</v>
      </c>
      <c r="C168" s="4" t="s">
        <v>506</v>
      </c>
      <c r="D168" s="4" t="s">
        <v>448</v>
      </c>
      <c r="E168" s="4" t="s">
        <v>447</v>
      </c>
      <c r="F168" s="3">
        <v>4.9697547330000003</v>
      </c>
      <c r="G168" s="3">
        <v>96912</v>
      </c>
    </row>
    <row r="169" spans="2:7" ht="15.75" hidden="1" thickBot="1">
      <c r="B169" s="4" t="s">
        <v>507</v>
      </c>
      <c r="C169" s="4" t="s">
        <v>506</v>
      </c>
      <c r="D169" s="4" t="s">
        <v>316</v>
      </c>
      <c r="E169" s="4" t="s">
        <v>315</v>
      </c>
      <c r="F169" s="3">
        <v>3.4119216940000001</v>
      </c>
      <c r="G169" s="3">
        <v>65714</v>
      </c>
    </row>
    <row r="170" spans="2:7" ht="15.75" hidden="1" thickBot="1">
      <c r="B170" s="4" t="s">
        <v>507</v>
      </c>
      <c r="C170" s="4" t="s">
        <v>506</v>
      </c>
      <c r="D170" s="4" t="s">
        <v>321</v>
      </c>
      <c r="E170" s="4" t="s">
        <v>320</v>
      </c>
      <c r="F170" s="3">
        <v>0.50148568699999996</v>
      </c>
      <c r="G170" s="3">
        <v>9300</v>
      </c>
    </row>
    <row r="171" spans="2:7" ht="15.75" hidden="1" thickBot="1">
      <c r="B171" s="4" t="s">
        <v>507</v>
      </c>
      <c r="C171" s="4" t="s">
        <v>506</v>
      </c>
      <c r="D171" s="4" t="s">
        <v>325</v>
      </c>
      <c r="E171" s="4" t="s">
        <v>324</v>
      </c>
      <c r="F171" s="3">
        <v>1.9014425580000001</v>
      </c>
      <c r="G171" s="3">
        <v>36622</v>
      </c>
    </row>
    <row r="172" spans="2:7" ht="15.75" hidden="1" thickBot="1">
      <c r="B172" s="4" t="s">
        <v>507</v>
      </c>
      <c r="C172" s="4" t="s">
        <v>506</v>
      </c>
      <c r="D172" s="4" t="s">
        <v>329</v>
      </c>
      <c r="E172" s="4" t="s">
        <v>328</v>
      </c>
      <c r="F172" s="3">
        <v>0.87032032199999998</v>
      </c>
      <c r="G172" s="3">
        <v>16140</v>
      </c>
    </row>
    <row r="173" spans="2:7" ht="15.75" hidden="1" thickBot="1">
      <c r="B173" s="4" t="s">
        <v>507</v>
      </c>
      <c r="C173" s="4" t="s">
        <v>506</v>
      </c>
      <c r="D173" s="4" t="s">
        <v>333</v>
      </c>
      <c r="E173" s="4" t="s">
        <v>332</v>
      </c>
      <c r="F173" s="3">
        <v>1.166358647</v>
      </c>
      <c r="G173" s="3">
        <v>21630</v>
      </c>
    </row>
    <row r="174" spans="2:7" ht="15.75" hidden="1" thickBot="1">
      <c r="B174" s="4" t="s">
        <v>507</v>
      </c>
      <c r="C174" s="4" t="s">
        <v>506</v>
      </c>
      <c r="D174" s="4" t="s">
        <v>337</v>
      </c>
      <c r="E174" s="4" t="s">
        <v>336</v>
      </c>
      <c r="F174" s="3">
        <v>1.1090922169999999</v>
      </c>
      <c r="G174" s="3">
        <v>20568</v>
      </c>
    </row>
    <row r="175" spans="2:7" ht="15.75" hidden="1" thickBot="1">
      <c r="B175" s="4" t="s">
        <v>507</v>
      </c>
      <c r="C175" s="4" t="s">
        <v>506</v>
      </c>
      <c r="D175" s="4" t="s">
        <v>452</v>
      </c>
      <c r="E175" s="4" t="s">
        <v>451</v>
      </c>
      <c r="F175" s="3">
        <v>0.75582720400000003</v>
      </c>
      <c r="G175" s="3">
        <v>13496</v>
      </c>
    </row>
    <row r="176" spans="2:7" ht="15.75" hidden="1" thickBot="1">
      <c r="B176" s="4" t="s">
        <v>507</v>
      </c>
      <c r="C176" s="4" t="s">
        <v>506</v>
      </c>
      <c r="D176" s="4" t="s">
        <v>456</v>
      </c>
      <c r="E176" s="4" t="s">
        <v>455</v>
      </c>
      <c r="F176" s="3">
        <v>1.1948969490000001</v>
      </c>
      <c r="G176" s="3">
        <v>21336</v>
      </c>
    </row>
    <row r="177" spans="2:7" ht="15.75" hidden="1" thickBot="1">
      <c r="B177" s="4" t="s">
        <v>507</v>
      </c>
      <c r="C177" s="4" t="s">
        <v>506</v>
      </c>
      <c r="D177" s="4" t="s">
        <v>459</v>
      </c>
      <c r="E177" s="4" t="s">
        <v>458</v>
      </c>
      <c r="F177" s="3">
        <v>0.74753864199999998</v>
      </c>
      <c r="G177" s="3">
        <v>13348</v>
      </c>
    </row>
    <row r="178" spans="2:7" ht="15.75" hidden="1" thickBot="1">
      <c r="B178" s="4" t="s">
        <v>507</v>
      </c>
      <c r="C178" s="4" t="s">
        <v>506</v>
      </c>
      <c r="D178" s="4" t="s">
        <v>247</v>
      </c>
      <c r="E178" s="4" t="s">
        <v>246</v>
      </c>
      <c r="F178" s="3">
        <v>0.85326802599999996</v>
      </c>
      <c r="G178" s="3">
        <v>26016</v>
      </c>
    </row>
    <row r="179" spans="2:7" ht="15.75" hidden="1" thickBot="1">
      <c r="B179" s="4" t="s">
        <v>507</v>
      </c>
      <c r="C179" s="4" t="s">
        <v>506</v>
      </c>
      <c r="D179" s="4" t="s">
        <v>463</v>
      </c>
      <c r="E179" s="4" t="s">
        <v>462</v>
      </c>
      <c r="F179" s="3">
        <v>0.145609865</v>
      </c>
      <c r="G179" s="3">
        <v>2600</v>
      </c>
    </row>
    <row r="180" spans="2:7" ht="15.75" hidden="1" thickBot="1">
      <c r="B180" s="4" t="s">
        <v>507</v>
      </c>
      <c r="C180" s="4" t="s">
        <v>506</v>
      </c>
      <c r="D180" s="4" t="s">
        <v>251</v>
      </c>
      <c r="E180" s="4" t="s">
        <v>250</v>
      </c>
      <c r="F180" s="3">
        <v>2.9531668280000001</v>
      </c>
      <c r="G180" s="3">
        <v>76960</v>
      </c>
    </row>
    <row r="181" spans="2:7" ht="15.75" hidden="1" thickBot="1">
      <c r="B181" s="4" t="s">
        <v>507</v>
      </c>
      <c r="C181" s="4" t="s">
        <v>506</v>
      </c>
      <c r="D181" s="4" t="s">
        <v>255</v>
      </c>
      <c r="E181" s="4" t="s">
        <v>254</v>
      </c>
      <c r="F181" s="3">
        <v>4.378785079</v>
      </c>
      <c r="G181" s="3">
        <v>111312</v>
      </c>
    </row>
    <row r="182" spans="2:7" ht="15.75" hidden="1" thickBot="1">
      <c r="B182" s="4" t="s">
        <v>507</v>
      </c>
      <c r="C182" s="4" t="s">
        <v>506</v>
      </c>
      <c r="D182" s="4" t="s">
        <v>467</v>
      </c>
      <c r="E182" s="4" t="s">
        <v>466</v>
      </c>
      <c r="F182" s="3">
        <v>8.1093494000000002E-2</v>
      </c>
      <c r="G182" s="3">
        <v>1448</v>
      </c>
    </row>
    <row r="183" spans="2:7" ht="15.75" hidden="1" thickBot="1">
      <c r="B183" s="4" t="s">
        <v>507</v>
      </c>
      <c r="C183" s="4" t="s">
        <v>506</v>
      </c>
      <c r="D183" s="4" t="s">
        <v>471</v>
      </c>
      <c r="E183" s="4" t="s">
        <v>470</v>
      </c>
      <c r="F183" s="3">
        <v>0.15546653199999999</v>
      </c>
      <c r="G183" s="3">
        <v>2776</v>
      </c>
    </row>
    <row r="184" spans="2:7" ht="15.75" hidden="1" thickBot="1">
      <c r="B184" s="4" t="s">
        <v>507</v>
      </c>
      <c r="C184" s="4" t="s">
        <v>506</v>
      </c>
      <c r="D184" s="4" t="s">
        <v>475</v>
      </c>
      <c r="E184" s="4" t="s">
        <v>474</v>
      </c>
      <c r="F184" s="3">
        <v>8.0645463000000001E-2</v>
      </c>
      <c r="G184" s="3">
        <v>1440</v>
      </c>
    </row>
    <row r="185" spans="2:7" ht="15.75" hidden="1" thickBot="1">
      <c r="B185" s="4" t="s">
        <v>507</v>
      </c>
      <c r="C185" s="4" t="s">
        <v>506</v>
      </c>
      <c r="D185" s="4" t="s">
        <v>479</v>
      </c>
      <c r="E185" s="4" t="s">
        <v>478</v>
      </c>
      <c r="F185" s="3">
        <v>1.1451095760000001</v>
      </c>
      <c r="G185" s="3">
        <v>20447</v>
      </c>
    </row>
    <row r="186" spans="2:7" ht="23.25" hidden="1" thickBot="1">
      <c r="B186" s="4" t="s">
        <v>507</v>
      </c>
      <c r="C186" s="4" t="s">
        <v>506</v>
      </c>
      <c r="D186" s="4" t="s">
        <v>483</v>
      </c>
      <c r="E186" s="4" t="s">
        <v>482</v>
      </c>
      <c r="F186" s="3">
        <v>3.1006609119999999</v>
      </c>
      <c r="G186" s="3">
        <v>60464</v>
      </c>
    </row>
    <row r="187" spans="2:7" ht="15.75" hidden="1" thickBot="1">
      <c r="B187" s="4" t="s">
        <v>507</v>
      </c>
      <c r="C187" s="4" t="s">
        <v>506</v>
      </c>
      <c r="D187" s="4" t="s">
        <v>342</v>
      </c>
      <c r="E187" s="4" t="s">
        <v>341</v>
      </c>
      <c r="F187" s="3">
        <v>6.7296144000000002E-2</v>
      </c>
      <c r="G187" s="3">
        <v>1248</v>
      </c>
    </row>
    <row r="188" spans="2:7" ht="15.75" hidden="1" thickBot="1">
      <c r="B188" s="4" t="s">
        <v>507</v>
      </c>
      <c r="C188" s="4" t="s">
        <v>506</v>
      </c>
      <c r="D188" s="4" t="s">
        <v>259</v>
      </c>
      <c r="E188" s="4" t="s">
        <v>258</v>
      </c>
      <c r="F188" s="3">
        <v>3.4320587470000001</v>
      </c>
      <c r="G188" s="3">
        <v>89440</v>
      </c>
    </row>
    <row r="189" spans="2:7" ht="15.75" hidden="1" thickBot="1">
      <c r="B189" s="4" t="s">
        <v>507</v>
      </c>
      <c r="C189" s="4" t="s">
        <v>506</v>
      </c>
      <c r="D189" s="4" t="s">
        <v>263</v>
      </c>
      <c r="E189" s="4" t="s">
        <v>262</v>
      </c>
      <c r="F189" s="3">
        <v>6.2048100399999999</v>
      </c>
      <c r="G189" s="3">
        <v>164880</v>
      </c>
    </row>
    <row r="190" spans="2:7" ht="15.75" hidden="1" thickBot="1">
      <c r="B190" s="4" t="s">
        <v>507</v>
      </c>
      <c r="C190" s="4" t="s">
        <v>506</v>
      </c>
      <c r="D190" s="4" t="s">
        <v>487</v>
      </c>
      <c r="E190" s="4" t="s">
        <v>486</v>
      </c>
      <c r="F190" s="3">
        <v>2.2525580239999998</v>
      </c>
      <c r="G190" s="3">
        <v>40048</v>
      </c>
    </row>
    <row r="191" spans="2:7" ht="15.75" hidden="1" thickBot="1">
      <c r="B191" s="4" t="s">
        <v>507</v>
      </c>
      <c r="C191" s="4" t="s">
        <v>506</v>
      </c>
      <c r="D191" s="4" t="s">
        <v>491</v>
      </c>
      <c r="E191" s="4" t="s">
        <v>490</v>
      </c>
      <c r="F191" s="3">
        <v>3.0309253319999998</v>
      </c>
      <c r="G191" s="3">
        <v>54120</v>
      </c>
    </row>
    <row r="192" spans="2:7" ht="23.25" hidden="1" thickBot="1">
      <c r="B192" s="4" t="s">
        <v>507</v>
      </c>
      <c r="C192" s="4" t="s">
        <v>506</v>
      </c>
      <c r="D192" s="4" t="s">
        <v>495</v>
      </c>
      <c r="E192" s="4" t="s">
        <v>494</v>
      </c>
      <c r="F192" s="3">
        <v>2.1814625059999999</v>
      </c>
      <c r="G192" s="3">
        <v>38784</v>
      </c>
    </row>
    <row r="193" spans="2:7" ht="15.75" hidden="1" thickBot="1">
      <c r="B193" s="4" t="s">
        <v>507</v>
      </c>
      <c r="C193" s="4" t="s">
        <v>506</v>
      </c>
      <c r="D193" s="4" t="s">
        <v>346</v>
      </c>
      <c r="E193" s="4" t="s">
        <v>345</v>
      </c>
      <c r="F193" s="3">
        <v>4.6572933599999997</v>
      </c>
      <c r="G193" s="3">
        <v>89700</v>
      </c>
    </row>
    <row r="194" spans="2:7" ht="15.75" hidden="1" thickBot="1">
      <c r="B194" s="4" t="s">
        <v>507</v>
      </c>
      <c r="C194" s="4" t="s">
        <v>506</v>
      </c>
      <c r="D194" s="4" t="s">
        <v>350</v>
      </c>
      <c r="E194" s="4" t="s">
        <v>349</v>
      </c>
      <c r="F194" s="3">
        <v>30.683619362000002</v>
      </c>
      <c r="G194" s="3">
        <v>590970</v>
      </c>
    </row>
    <row r="195" spans="2:7" ht="15.75" hidden="1" thickBot="1">
      <c r="B195" s="4" t="s">
        <v>507</v>
      </c>
      <c r="C195" s="4" t="s">
        <v>506</v>
      </c>
      <c r="D195" s="4" t="s">
        <v>354</v>
      </c>
      <c r="E195" s="4" t="s">
        <v>353</v>
      </c>
      <c r="F195" s="3">
        <v>8.5804269850000008</v>
      </c>
      <c r="G195" s="3">
        <v>165260</v>
      </c>
    </row>
    <row r="196" spans="2:7" ht="15.75" hidden="1" thickBot="1">
      <c r="B196" s="4" t="s">
        <v>507</v>
      </c>
      <c r="C196" s="4" t="s">
        <v>506</v>
      </c>
      <c r="D196" s="4" t="s">
        <v>358</v>
      </c>
      <c r="E196" s="4" t="s">
        <v>357</v>
      </c>
      <c r="F196" s="3">
        <v>19.145265925</v>
      </c>
      <c r="G196" s="3">
        <v>368740</v>
      </c>
    </row>
    <row r="197" spans="2:7" ht="15.75" hidden="1" thickBot="1">
      <c r="B197" s="4" t="s">
        <v>507</v>
      </c>
      <c r="C197" s="4" t="s">
        <v>506</v>
      </c>
      <c r="D197" s="4" t="s">
        <v>362</v>
      </c>
      <c r="E197" s="4" t="s">
        <v>361</v>
      </c>
      <c r="F197" s="3">
        <v>9.4931941789999996</v>
      </c>
      <c r="G197" s="3">
        <v>182840</v>
      </c>
    </row>
    <row r="198" spans="2:7" ht="15.75" hidden="1" thickBot="1">
      <c r="B198" s="4" t="s">
        <v>507</v>
      </c>
      <c r="C198" s="4" t="s">
        <v>506</v>
      </c>
      <c r="D198" s="4" t="s">
        <v>366</v>
      </c>
      <c r="E198" s="4" t="s">
        <v>365</v>
      </c>
      <c r="F198" s="3">
        <v>4.0425514050000002</v>
      </c>
      <c r="G198" s="3">
        <v>77860</v>
      </c>
    </row>
    <row r="199" spans="2:7" ht="15.75" hidden="1" thickBot="1">
      <c r="B199" s="4" t="s">
        <v>507</v>
      </c>
      <c r="C199" s="4" t="s">
        <v>506</v>
      </c>
      <c r="D199" s="4" t="s">
        <v>370</v>
      </c>
      <c r="E199" s="4" t="s">
        <v>369</v>
      </c>
      <c r="F199" s="3">
        <v>8.2489647690000005</v>
      </c>
      <c r="G199" s="3">
        <v>158876</v>
      </c>
    </row>
    <row r="200" spans="2:7" ht="15.75" hidden="1" thickBot="1">
      <c r="B200" s="4" t="s">
        <v>507</v>
      </c>
      <c r="C200" s="4" t="s">
        <v>506</v>
      </c>
      <c r="D200" s="4" t="s">
        <v>271</v>
      </c>
      <c r="E200" s="4" t="s">
        <v>270</v>
      </c>
      <c r="F200" s="3">
        <v>3.280102657</v>
      </c>
      <c r="G200" s="3">
        <v>85480</v>
      </c>
    </row>
    <row r="201" spans="2:7" ht="15.75" hidden="1" thickBot="1">
      <c r="B201" s="4" t="s">
        <v>507</v>
      </c>
      <c r="C201" s="4" t="s">
        <v>506</v>
      </c>
      <c r="D201" s="4" t="s">
        <v>374</v>
      </c>
      <c r="E201" s="4" t="s">
        <v>373</v>
      </c>
      <c r="F201" s="3">
        <v>1.779844107</v>
      </c>
      <c r="G201" s="3">
        <v>34280</v>
      </c>
    </row>
    <row r="202" spans="2:7" ht="15.75" hidden="1" thickBot="1">
      <c r="B202" s="4" t="s">
        <v>507</v>
      </c>
      <c r="C202" s="4" t="s">
        <v>506</v>
      </c>
      <c r="D202" s="4" t="s">
        <v>378</v>
      </c>
      <c r="E202" s="4" t="s">
        <v>377</v>
      </c>
      <c r="F202" s="3">
        <v>1.044645957</v>
      </c>
      <c r="G202" s="3">
        <v>20120</v>
      </c>
    </row>
    <row r="203" spans="2:7" ht="15.75" hidden="1" thickBot="1">
      <c r="B203" s="4" t="s">
        <v>507</v>
      </c>
      <c r="C203" s="4" t="s">
        <v>506</v>
      </c>
      <c r="D203" s="4" t="s">
        <v>382</v>
      </c>
      <c r="E203" s="4" t="s">
        <v>381</v>
      </c>
      <c r="F203" s="3">
        <v>1.057106943</v>
      </c>
      <c r="G203" s="3">
        <v>20360</v>
      </c>
    </row>
    <row r="204" spans="2:7" ht="15.75" hidden="1" thickBot="1">
      <c r="B204" s="4" t="s">
        <v>507</v>
      </c>
      <c r="C204" s="4" t="s">
        <v>506</v>
      </c>
      <c r="D204" s="4" t="s">
        <v>386</v>
      </c>
      <c r="E204" s="4" t="s">
        <v>385</v>
      </c>
      <c r="F204" s="3">
        <v>1.368631583</v>
      </c>
      <c r="G204" s="3">
        <v>26360</v>
      </c>
    </row>
    <row r="205" spans="2:7" ht="15.75" hidden="1" thickBot="1">
      <c r="B205" s="4" t="s">
        <v>507</v>
      </c>
      <c r="C205" s="4" t="s">
        <v>506</v>
      </c>
      <c r="D205" s="4" t="s">
        <v>390</v>
      </c>
      <c r="E205" s="4" t="s">
        <v>389</v>
      </c>
      <c r="F205" s="3">
        <v>0.65482479299999996</v>
      </c>
      <c r="G205" s="3">
        <v>12612</v>
      </c>
    </row>
    <row r="206" spans="2:7" ht="15.75" hidden="1" thickBot="1">
      <c r="B206" s="4" t="s">
        <v>507</v>
      </c>
      <c r="C206" s="4" t="s">
        <v>506</v>
      </c>
      <c r="D206" s="4" t="s">
        <v>394</v>
      </c>
      <c r="E206" s="4" t="s">
        <v>393</v>
      </c>
      <c r="F206" s="3">
        <v>1.102797223</v>
      </c>
      <c r="G206" s="3">
        <v>21240</v>
      </c>
    </row>
    <row r="207" spans="2:7" ht="15.75" hidden="1" thickBot="1">
      <c r="B207" s="4" t="s">
        <v>507</v>
      </c>
      <c r="C207" s="4" t="s">
        <v>506</v>
      </c>
      <c r="D207" s="4" t="s">
        <v>398</v>
      </c>
      <c r="E207" s="4" t="s">
        <v>397</v>
      </c>
      <c r="F207" s="3">
        <v>1.5918909080000001</v>
      </c>
      <c r="G207" s="3">
        <v>30660</v>
      </c>
    </row>
    <row r="208" spans="2:7" ht="15.75" hidden="1" thickBot="1">
      <c r="B208" s="4" t="s">
        <v>507</v>
      </c>
      <c r="C208" s="4" t="s">
        <v>506</v>
      </c>
      <c r="D208" s="4" t="s">
        <v>275</v>
      </c>
      <c r="E208" s="4" t="s">
        <v>274</v>
      </c>
      <c r="F208" s="3">
        <v>9.0485894160000004</v>
      </c>
      <c r="G208" s="3">
        <v>256992</v>
      </c>
    </row>
    <row r="209" spans="2:7" ht="15.75" hidden="1" thickBot="1">
      <c r="B209" s="4" t="s">
        <v>507</v>
      </c>
      <c r="C209" s="4" t="s">
        <v>506</v>
      </c>
      <c r="D209" s="4" t="s">
        <v>279</v>
      </c>
      <c r="E209" s="4" t="s">
        <v>278</v>
      </c>
      <c r="F209" s="3">
        <v>5.5193004590000001</v>
      </c>
      <c r="G209" s="3">
        <v>146664</v>
      </c>
    </row>
    <row r="210" spans="2:7" ht="15.75" hidden="1" thickBot="1">
      <c r="B210" s="4" t="s">
        <v>507</v>
      </c>
      <c r="C210" s="4" t="s">
        <v>506</v>
      </c>
      <c r="D210" s="4" t="s">
        <v>402</v>
      </c>
      <c r="E210" s="4" t="s">
        <v>401</v>
      </c>
      <c r="F210" s="3">
        <v>5.8026656179999998</v>
      </c>
      <c r="G210" s="3">
        <v>111760</v>
      </c>
    </row>
    <row r="211" spans="2:7" ht="15.75" hidden="1" thickBot="1">
      <c r="B211" s="4" t="s">
        <v>507</v>
      </c>
      <c r="C211" s="4" t="s">
        <v>506</v>
      </c>
      <c r="D211" s="4" t="s">
        <v>499</v>
      </c>
      <c r="E211" s="4" t="s">
        <v>498</v>
      </c>
      <c r="F211" s="3">
        <v>7.4105196429999998</v>
      </c>
      <c r="G211" s="3">
        <v>139776</v>
      </c>
    </row>
    <row r="212" spans="2:7" ht="15.75" hidden="1" thickBot="1">
      <c r="B212" s="4" t="s">
        <v>507</v>
      </c>
      <c r="C212" s="4" t="s">
        <v>506</v>
      </c>
      <c r="D212" s="4" t="s">
        <v>64</v>
      </c>
      <c r="E212" s="4" t="s">
        <v>63</v>
      </c>
      <c r="F212" s="3">
        <v>7.7159098420000003</v>
      </c>
      <c r="G212" s="3">
        <v>117785</v>
      </c>
    </row>
    <row r="213" spans="2:7" ht="15.75" hidden="1" thickBot="1">
      <c r="B213" s="4" t="s">
        <v>507</v>
      </c>
      <c r="C213" s="4" t="s">
        <v>506</v>
      </c>
      <c r="D213" s="4" t="s">
        <v>69</v>
      </c>
      <c r="E213" s="4" t="s">
        <v>68</v>
      </c>
      <c r="F213" s="3">
        <v>3.0316708619999999</v>
      </c>
      <c r="G213" s="3">
        <v>29904</v>
      </c>
    </row>
    <row r="214" spans="2:7" ht="15.75" hidden="1" thickBot="1">
      <c r="B214" s="4" t="s">
        <v>507</v>
      </c>
      <c r="C214" s="4" t="s">
        <v>506</v>
      </c>
      <c r="D214" s="4" t="s">
        <v>406</v>
      </c>
      <c r="E214" s="4" t="s">
        <v>405</v>
      </c>
      <c r="F214" s="3">
        <v>2.5763087690000002</v>
      </c>
      <c r="G214" s="3">
        <v>49620</v>
      </c>
    </row>
    <row r="215" spans="2:7" ht="15.75" hidden="1" thickBot="1">
      <c r="B215" s="4" t="s">
        <v>507</v>
      </c>
      <c r="C215" s="4" t="s">
        <v>506</v>
      </c>
      <c r="D215" s="4" t="s">
        <v>410</v>
      </c>
      <c r="E215" s="4" t="s">
        <v>409</v>
      </c>
      <c r="F215" s="3">
        <v>4.785018462</v>
      </c>
      <c r="G215" s="3">
        <v>92160</v>
      </c>
    </row>
    <row r="216" spans="2:7" ht="15.75" hidden="1" thickBot="1">
      <c r="B216" s="4" t="s">
        <v>507</v>
      </c>
      <c r="C216" s="4" t="s">
        <v>506</v>
      </c>
      <c r="D216" s="4" t="s">
        <v>414</v>
      </c>
      <c r="E216" s="4" t="s">
        <v>413</v>
      </c>
      <c r="F216" s="3">
        <v>3.4124409010000001</v>
      </c>
      <c r="G216" s="3">
        <v>65724</v>
      </c>
    </row>
    <row r="217" spans="2:7" ht="15.75" hidden="1" thickBot="1">
      <c r="B217" s="4" t="s">
        <v>507</v>
      </c>
      <c r="C217" s="4" t="s">
        <v>506</v>
      </c>
      <c r="D217" s="4" t="s">
        <v>418</v>
      </c>
      <c r="E217" s="4" t="s">
        <v>417</v>
      </c>
      <c r="F217" s="3">
        <v>2.1974948059999999</v>
      </c>
      <c r="G217" s="3">
        <v>42324</v>
      </c>
    </row>
    <row r="218" spans="2:7" ht="15.75" hidden="1" thickBot="1">
      <c r="B218" s="4" t="s">
        <v>507</v>
      </c>
      <c r="C218" s="4" t="s">
        <v>506</v>
      </c>
      <c r="D218" s="4" t="s">
        <v>422</v>
      </c>
      <c r="E218" s="4" t="s">
        <v>421</v>
      </c>
      <c r="F218" s="3">
        <v>0.75451267700000002</v>
      </c>
      <c r="G218" s="3">
        <v>14532</v>
      </c>
    </row>
    <row r="219" spans="2:7" ht="15.75" hidden="1" thickBot="1">
      <c r="B219" s="4" t="s">
        <v>507</v>
      </c>
      <c r="C219" s="4" t="s">
        <v>506</v>
      </c>
      <c r="D219" s="4" t="s">
        <v>426</v>
      </c>
      <c r="E219" s="4" t="s">
        <v>425</v>
      </c>
      <c r="F219" s="3">
        <v>0.97112614200000003</v>
      </c>
      <c r="G219" s="3">
        <v>18704</v>
      </c>
    </row>
    <row r="220" spans="2:7" ht="15.75" hidden="1" thickBot="1">
      <c r="B220" s="4" t="s">
        <v>507</v>
      </c>
      <c r="C220" s="4" t="s">
        <v>506</v>
      </c>
      <c r="D220" s="4" t="s">
        <v>430</v>
      </c>
      <c r="E220" s="4" t="s">
        <v>429</v>
      </c>
      <c r="F220" s="3">
        <v>0.94246587699999995</v>
      </c>
      <c r="G220" s="3">
        <v>18152</v>
      </c>
    </row>
    <row r="221" spans="2:7" ht="15.75" hidden="1" thickBot="1">
      <c r="B221" s="4" t="s">
        <v>507</v>
      </c>
      <c r="C221" s="4" t="s">
        <v>506</v>
      </c>
      <c r="D221" s="4" t="s">
        <v>73</v>
      </c>
      <c r="E221" s="4" t="s">
        <v>72</v>
      </c>
      <c r="F221" s="3">
        <v>13.048735561999999</v>
      </c>
      <c r="G221" s="3">
        <v>128711</v>
      </c>
    </row>
    <row r="222" spans="2:7" ht="15.75" hidden="1" thickBot="1">
      <c r="B222" s="4" t="s">
        <v>507</v>
      </c>
      <c r="C222" s="4" t="s">
        <v>506</v>
      </c>
      <c r="D222" s="4" t="s">
        <v>434</v>
      </c>
      <c r="E222" s="4" t="s">
        <v>433</v>
      </c>
      <c r="F222" s="3">
        <v>1.7702906839999999</v>
      </c>
      <c r="G222" s="3">
        <v>34096</v>
      </c>
    </row>
    <row r="223" spans="2:7" ht="15.75" hidden="1" thickBot="1">
      <c r="B223" s="4" t="s">
        <v>507</v>
      </c>
      <c r="C223" s="4" t="s">
        <v>506</v>
      </c>
      <c r="D223" s="4" t="s">
        <v>438</v>
      </c>
      <c r="E223" s="4" t="s">
        <v>437</v>
      </c>
      <c r="F223" s="3">
        <v>2.2554383900000001</v>
      </c>
      <c r="G223" s="3">
        <v>43440</v>
      </c>
    </row>
    <row r="224" spans="2:7" ht="15.75" hidden="1" thickBot="1">
      <c r="B224" s="4" t="s">
        <v>507</v>
      </c>
      <c r="C224" s="4" t="s">
        <v>506</v>
      </c>
      <c r="D224" s="4" t="s">
        <v>77</v>
      </c>
      <c r="E224" s="4" t="s">
        <v>76</v>
      </c>
      <c r="F224" s="3">
        <v>12.531291473</v>
      </c>
      <c r="G224" s="3">
        <v>123607</v>
      </c>
    </row>
    <row r="225" spans="2:7" ht="15.75" hidden="1" thickBot="1">
      <c r="B225" s="4" t="s">
        <v>507</v>
      </c>
      <c r="C225" s="4" t="s">
        <v>506</v>
      </c>
      <c r="D225" s="4" t="s">
        <v>283</v>
      </c>
      <c r="E225" s="4" t="s">
        <v>282</v>
      </c>
      <c r="F225" s="3">
        <v>0.76689319300000003</v>
      </c>
      <c r="G225" s="3">
        <v>19495</v>
      </c>
    </row>
    <row r="226" spans="2:7" ht="15.75" hidden="1" thickBot="1">
      <c r="B226" s="4" t="s">
        <v>507</v>
      </c>
      <c r="C226" s="4" t="s">
        <v>506</v>
      </c>
      <c r="D226" s="4" t="s">
        <v>503</v>
      </c>
      <c r="E226" s="4" t="s">
        <v>502</v>
      </c>
      <c r="F226" s="3">
        <v>4.9713957290000002</v>
      </c>
      <c r="G226" s="3">
        <v>96944</v>
      </c>
    </row>
    <row r="227" spans="2:7" ht="15.75" hidden="1" thickBot="1">
      <c r="B227" s="4" t="s">
        <v>521</v>
      </c>
      <c r="C227" s="4" t="s">
        <v>520</v>
      </c>
      <c r="D227" s="4" t="s">
        <v>154</v>
      </c>
      <c r="E227" s="4" t="s">
        <v>153</v>
      </c>
      <c r="F227" s="3">
        <v>0.19493613000000001</v>
      </c>
      <c r="G227" s="3">
        <v>30312</v>
      </c>
    </row>
    <row r="228" spans="2:7" ht="15.75" hidden="1" thickBot="1">
      <c r="B228" s="4" t="s">
        <v>521</v>
      </c>
      <c r="C228" s="4" t="s">
        <v>520</v>
      </c>
      <c r="D228" s="4" t="s">
        <v>158</v>
      </c>
      <c r="E228" s="4" t="s">
        <v>157</v>
      </c>
      <c r="F228" s="3">
        <v>0.63527878900000001</v>
      </c>
      <c r="G228" s="3">
        <v>98784</v>
      </c>
    </row>
    <row r="229" spans="2:7" ht="15.75" hidden="1" thickBot="1">
      <c r="B229" s="4" t="s">
        <v>521</v>
      </c>
      <c r="C229" s="4" t="s">
        <v>520</v>
      </c>
      <c r="D229" s="4" t="s">
        <v>20</v>
      </c>
      <c r="E229" s="4" t="s">
        <v>19</v>
      </c>
      <c r="F229" s="3">
        <v>7.8401094000000005E-2</v>
      </c>
      <c r="G229" s="3">
        <v>50669</v>
      </c>
    </row>
    <row r="230" spans="2:7" ht="15.75" hidden="1" thickBot="1">
      <c r="B230" s="4" t="s">
        <v>521</v>
      </c>
      <c r="C230" s="4" t="s">
        <v>520</v>
      </c>
      <c r="D230" s="4" t="s">
        <v>129</v>
      </c>
      <c r="E230" s="4" t="s">
        <v>128</v>
      </c>
      <c r="F230" s="3">
        <v>0.47248371</v>
      </c>
      <c r="G230" s="3">
        <v>165552</v>
      </c>
    </row>
    <row r="231" spans="2:7" ht="15.75" hidden="1" thickBot="1">
      <c r="B231" s="4" t="s">
        <v>521</v>
      </c>
      <c r="C231" s="4" t="s">
        <v>520</v>
      </c>
      <c r="D231" s="4" t="s">
        <v>25</v>
      </c>
      <c r="E231" s="4" t="s">
        <v>24</v>
      </c>
      <c r="F231" s="3">
        <v>3.5528641999999999E-2</v>
      </c>
      <c r="G231" s="3">
        <v>21936</v>
      </c>
    </row>
    <row r="232" spans="2:7" ht="15.75" hidden="1" thickBot="1">
      <c r="B232" s="4" t="s">
        <v>521</v>
      </c>
      <c r="C232" s="4" t="s">
        <v>520</v>
      </c>
      <c r="D232" s="4" t="s">
        <v>95</v>
      </c>
      <c r="E232" s="4" t="s">
        <v>94</v>
      </c>
      <c r="F232" s="3">
        <v>0.87211157699999997</v>
      </c>
      <c r="G232" s="3">
        <v>153651</v>
      </c>
    </row>
    <row r="233" spans="2:7" ht="15.75" hidden="1" thickBot="1">
      <c r="B233" s="4" t="s">
        <v>521</v>
      </c>
      <c r="C233" s="4" t="s">
        <v>520</v>
      </c>
      <c r="D233" s="4" t="s">
        <v>162</v>
      </c>
      <c r="E233" s="4" t="s">
        <v>161</v>
      </c>
      <c r="F233" s="3">
        <v>0.93394929299999996</v>
      </c>
      <c r="G233" s="3">
        <v>190030</v>
      </c>
    </row>
    <row r="234" spans="2:7" ht="15.75" hidden="1" thickBot="1">
      <c r="B234" s="4" t="s">
        <v>521</v>
      </c>
      <c r="C234" s="4" t="s">
        <v>520</v>
      </c>
      <c r="D234" s="4" t="s">
        <v>166</v>
      </c>
      <c r="E234" s="4" t="s">
        <v>165</v>
      </c>
      <c r="F234" s="3">
        <v>0.33834098400000001</v>
      </c>
      <c r="G234" s="3">
        <v>68842</v>
      </c>
    </row>
    <row r="235" spans="2:7" ht="15.75" hidden="1" thickBot="1">
      <c r="B235" s="4" t="s">
        <v>521</v>
      </c>
      <c r="C235" s="4" t="s">
        <v>520</v>
      </c>
      <c r="D235" s="4" t="s">
        <v>170</v>
      </c>
      <c r="E235" s="4" t="s">
        <v>169</v>
      </c>
      <c r="F235" s="3">
        <v>0.102175549</v>
      </c>
      <c r="G235" s="3">
        <v>15888</v>
      </c>
    </row>
    <row r="236" spans="2:7" ht="15.75" hidden="1" thickBot="1">
      <c r="B236" s="4" t="s">
        <v>521</v>
      </c>
      <c r="C236" s="4" t="s">
        <v>520</v>
      </c>
      <c r="D236" s="4" t="s">
        <v>175</v>
      </c>
      <c r="E236" s="4" t="s">
        <v>174</v>
      </c>
      <c r="F236" s="3">
        <v>5.0621889000000003E-2</v>
      </c>
      <c r="G236" s="3">
        <v>10300</v>
      </c>
    </row>
    <row r="237" spans="2:7" ht="15.75" hidden="1" thickBot="1">
      <c r="B237" s="4" t="s">
        <v>521</v>
      </c>
      <c r="C237" s="4" t="s">
        <v>520</v>
      </c>
      <c r="D237" s="4" t="s">
        <v>180</v>
      </c>
      <c r="E237" s="4" t="s">
        <v>179</v>
      </c>
      <c r="F237" s="3">
        <v>3.2154943999999998E-2</v>
      </c>
      <c r="G237" s="3">
        <v>5000</v>
      </c>
    </row>
    <row r="238" spans="2:7" ht="15.75" hidden="1" thickBot="1">
      <c r="B238" s="4" t="s">
        <v>521</v>
      </c>
      <c r="C238" s="4" t="s">
        <v>520</v>
      </c>
      <c r="D238" s="4" t="s">
        <v>184</v>
      </c>
      <c r="E238" s="4" t="s">
        <v>183</v>
      </c>
      <c r="F238" s="3">
        <v>3.8747862000000001E-2</v>
      </c>
      <c r="G238" s="3">
        <v>7884</v>
      </c>
    </row>
    <row r="239" spans="2:7" ht="15.75" hidden="1" thickBot="1">
      <c r="B239" s="4" t="s">
        <v>521</v>
      </c>
      <c r="C239" s="4" t="s">
        <v>520</v>
      </c>
      <c r="D239" s="4" t="s">
        <v>188</v>
      </c>
      <c r="E239" s="4" t="s">
        <v>187</v>
      </c>
      <c r="F239" s="3">
        <v>0.137211575</v>
      </c>
      <c r="G239" s="3">
        <v>21336</v>
      </c>
    </row>
    <row r="240" spans="2:7" ht="15.75" hidden="1" thickBot="1">
      <c r="B240" s="4" t="s">
        <v>521</v>
      </c>
      <c r="C240" s="4" t="s">
        <v>520</v>
      </c>
      <c r="D240" s="4" t="s">
        <v>192</v>
      </c>
      <c r="E240" s="4" t="s">
        <v>191</v>
      </c>
      <c r="F240" s="3">
        <v>0.22121315</v>
      </c>
      <c r="G240" s="3">
        <v>34398</v>
      </c>
    </row>
    <row r="241" spans="2:7" ht="15.75" hidden="1" thickBot="1">
      <c r="B241" s="4" t="s">
        <v>521</v>
      </c>
      <c r="C241" s="4" t="s">
        <v>520</v>
      </c>
      <c r="D241" s="4" t="s">
        <v>46</v>
      </c>
      <c r="E241" s="4" t="s">
        <v>45</v>
      </c>
      <c r="F241" s="3">
        <v>4.2972555000000003E-2</v>
      </c>
      <c r="G241" s="3">
        <v>26532</v>
      </c>
    </row>
    <row r="242" spans="2:7" ht="15.75" hidden="1" thickBot="1">
      <c r="B242" s="4" t="s">
        <v>521</v>
      </c>
      <c r="C242" s="4" t="s">
        <v>520</v>
      </c>
      <c r="D242" s="4" t="s">
        <v>134</v>
      </c>
      <c r="E242" s="4" t="s">
        <v>133</v>
      </c>
      <c r="F242" s="3">
        <v>0.52737858699999995</v>
      </c>
      <c r="G242" s="3">
        <v>92915</v>
      </c>
    </row>
    <row r="243" spans="2:7" ht="15.75" hidden="1" thickBot="1">
      <c r="B243" s="4" t="s">
        <v>521</v>
      </c>
      <c r="C243" s="4" t="s">
        <v>520</v>
      </c>
      <c r="D243" s="4" t="s">
        <v>201</v>
      </c>
      <c r="E243" s="4" t="s">
        <v>200</v>
      </c>
      <c r="F243" s="3">
        <v>0.31439817599999997</v>
      </c>
      <c r="G243" s="3">
        <v>48888</v>
      </c>
    </row>
    <row r="244" spans="2:7" ht="15.75" hidden="1" thickBot="1">
      <c r="B244" s="4" t="s">
        <v>521</v>
      </c>
      <c r="C244" s="4" t="s">
        <v>520</v>
      </c>
      <c r="D244" s="4" t="s">
        <v>138</v>
      </c>
      <c r="E244" s="4" t="s">
        <v>137</v>
      </c>
      <c r="F244" s="3">
        <v>0.100676591</v>
      </c>
      <c r="G244" s="3">
        <v>39264</v>
      </c>
    </row>
    <row r="245" spans="2:7" ht="15.75" hidden="1" thickBot="1">
      <c r="B245" s="4" t="s">
        <v>521</v>
      </c>
      <c r="C245" s="4" t="s">
        <v>520</v>
      </c>
      <c r="D245" s="4" t="s">
        <v>64</v>
      </c>
      <c r="E245" s="4" t="s">
        <v>63</v>
      </c>
      <c r="F245" s="3">
        <v>0.22674504600000001</v>
      </c>
      <c r="G245" s="3">
        <v>117785</v>
      </c>
    </row>
    <row r="246" spans="2:7" ht="15.75" hidden="1" thickBot="1">
      <c r="B246" s="4" t="s">
        <v>521</v>
      </c>
      <c r="C246" s="4" t="s">
        <v>520</v>
      </c>
      <c r="D246" s="4" t="s">
        <v>209</v>
      </c>
      <c r="E246" s="4" t="s">
        <v>208</v>
      </c>
      <c r="F246" s="3">
        <v>1.3269816E-2</v>
      </c>
      <c r="G246" s="3">
        <v>2700</v>
      </c>
    </row>
    <row r="247" spans="2:7" ht="15.75" hidden="1" thickBot="1">
      <c r="B247" s="4" t="s">
        <v>521</v>
      </c>
      <c r="C247" s="4" t="s">
        <v>520</v>
      </c>
      <c r="D247" s="4" t="s">
        <v>69</v>
      </c>
      <c r="E247" s="4" t="s">
        <v>68</v>
      </c>
      <c r="F247" s="3">
        <v>8.7936545000000005E-2</v>
      </c>
      <c r="G247" s="3">
        <v>29904</v>
      </c>
    </row>
    <row r="248" spans="2:7" ht="15.75" hidden="1" thickBot="1">
      <c r="B248" s="4" t="s">
        <v>521</v>
      </c>
      <c r="C248" s="4" t="s">
        <v>520</v>
      </c>
      <c r="D248" s="4" t="s">
        <v>73</v>
      </c>
      <c r="E248" s="4" t="s">
        <v>72</v>
      </c>
      <c r="F248" s="3">
        <v>0.37849119199999998</v>
      </c>
      <c r="G248" s="3">
        <v>128711</v>
      </c>
    </row>
    <row r="249" spans="2:7" ht="15.75" hidden="1" thickBot="1">
      <c r="B249" s="4" t="s">
        <v>521</v>
      </c>
      <c r="C249" s="4" t="s">
        <v>520</v>
      </c>
      <c r="D249" s="4" t="s">
        <v>142</v>
      </c>
      <c r="E249" s="4" t="s">
        <v>141</v>
      </c>
      <c r="F249" s="3">
        <v>0.34693524999999997</v>
      </c>
      <c r="G249" s="3">
        <v>61124</v>
      </c>
    </row>
    <row r="250" spans="2:7" ht="15.75" hidden="1" thickBot="1">
      <c r="B250" s="4" t="s">
        <v>521</v>
      </c>
      <c r="C250" s="4" t="s">
        <v>520</v>
      </c>
      <c r="D250" s="4" t="s">
        <v>213</v>
      </c>
      <c r="E250" s="4" t="s">
        <v>212</v>
      </c>
      <c r="F250" s="3">
        <v>0.78328156400000004</v>
      </c>
      <c r="G250" s="3">
        <v>121798</v>
      </c>
    </row>
    <row r="251" spans="2:7" ht="15.75" hidden="1" thickBot="1">
      <c r="B251" s="4" t="s">
        <v>521</v>
      </c>
      <c r="C251" s="4" t="s">
        <v>520</v>
      </c>
      <c r="D251" s="4" t="s">
        <v>77</v>
      </c>
      <c r="E251" s="4" t="s">
        <v>76</v>
      </c>
      <c r="F251" s="3">
        <v>0.36348222699999999</v>
      </c>
      <c r="G251" s="3">
        <v>123607</v>
      </c>
    </row>
    <row r="252" spans="2:7" ht="15.75" hidden="1" thickBot="1">
      <c r="B252" s="4" t="s">
        <v>521</v>
      </c>
      <c r="C252" s="4" t="s">
        <v>520</v>
      </c>
      <c r="D252" s="4" t="s">
        <v>146</v>
      </c>
      <c r="E252" s="4" t="s">
        <v>145</v>
      </c>
      <c r="F252" s="3">
        <v>0.509465367</v>
      </c>
      <c r="G252" s="3">
        <v>89759</v>
      </c>
    </row>
    <row r="253" spans="2:7" ht="15.75" hidden="1" thickBot="1">
      <c r="B253" s="4" t="s">
        <v>521</v>
      </c>
      <c r="C253" s="4" t="s">
        <v>520</v>
      </c>
      <c r="D253" s="4" t="s">
        <v>50</v>
      </c>
      <c r="E253" s="4" t="s">
        <v>49</v>
      </c>
      <c r="F253" s="3">
        <v>2.1197980000000002E-2</v>
      </c>
      <c r="G253" s="3">
        <v>13088</v>
      </c>
    </row>
    <row r="254" spans="2:7" ht="15.75" hidden="1" thickBot="1">
      <c r="B254" s="4" t="s">
        <v>521</v>
      </c>
      <c r="C254" s="4" t="s">
        <v>520</v>
      </c>
      <c r="D254" s="4" t="s">
        <v>54</v>
      </c>
      <c r="E254" s="4" t="s">
        <v>53</v>
      </c>
      <c r="F254" s="3">
        <v>7.0629699000000004E-2</v>
      </c>
      <c r="G254" s="3">
        <v>43608</v>
      </c>
    </row>
    <row r="255" spans="2:7" ht="15.75" hidden="1" thickBot="1">
      <c r="B255" s="4" t="s">
        <v>521</v>
      </c>
      <c r="C255" s="4" t="s">
        <v>520</v>
      </c>
      <c r="D255" s="4" t="s">
        <v>58</v>
      </c>
      <c r="E255" s="4" t="s">
        <v>57</v>
      </c>
      <c r="F255" s="3">
        <v>0.42679073499999998</v>
      </c>
      <c r="G255" s="3">
        <v>263508</v>
      </c>
    </row>
    <row r="256" spans="2:7" ht="15.75" hidden="1" thickBot="1">
      <c r="B256" s="4" t="s">
        <v>521</v>
      </c>
      <c r="C256" s="4" t="s">
        <v>520</v>
      </c>
      <c r="D256" s="4" t="s">
        <v>217</v>
      </c>
      <c r="E256" s="4" t="s">
        <v>216</v>
      </c>
      <c r="F256" s="3">
        <v>2.0881934850000001</v>
      </c>
      <c r="G256" s="3">
        <v>324708</v>
      </c>
    </row>
    <row r="257" spans="2:7" ht="15.75" hidden="1" thickBot="1">
      <c r="B257" s="4" t="s">
        <v>523</v>
      </c>
      <c r="C257" s="4" t="s">
        <v>522</v>
      </c>
      <c r="D257" s="4" t="s">
        <v>509</v>
      </c>
      <c r="E257" s="4" t="s">
        <v>508</v>
      </c>
      <c r="F257" s="3">
        <v>0.70787814299999996</v>
      </c>
      <c r="G257" s="3">
        <v>51486</v>
      </c>
    </row>
    <row r="258" spans="2:7" ht="15.75" hidden="1" thickBot="1">
      <c r="B258" s="4" t="s">
        <v>523</v>
      </c>
      <c r="C258" s="4" t="s">
        <v>522</v>
      </c>
      <c r="D258" s="4" t="s">
        <v>513</v>
      </c>
      <c r="E258" s="4" t="s">
        <v>512</v>
      </c>
      <c r="F258" s="3">
        <v>0.86667844900000002</v>
      </c>
      <c r="G258" s="3">
        <v>63036</v>
      </c>
    </row>
    <row r="259" spans="2:7" ht="15.75" hidden="1" thickBot="1">
      <c r="B259" s="4" t="s">
        <v>523</v>
      </c>
      <c r="C259" s="4" t="s">
        <v>522</v>
      </c>
      <c r="D259" s="4" t="s">
        <v>517</v>
      </c>
      <c r="E259" s="4" t="s">
        <v>516</v>
      </c>
      <c r="F259" s="3">
        <v>0.78971185899999996</v>
      </c>
      <c r="G259" s="3">
        <v>57438</v>
      </c>
    </row>
    <row r="260" spans="2:7" ht="15.75" hidden="1" thickBot="1">
      <c r="B260" s="4" t="s">
        <v>523</v>
      </c>
      <c r="C260" s="4" t="s">
        <v>522</v>
      </c>
      <c r="D260" s="4" t="s">
        <v>223</v>
      </c>
      <c r="E260" s="4" t="s">
        <v>222</v>
      </c>
      <c r="F260" s="3">
        <v>8.3464916E-2</v>
      </c>
      <c r="G260" s="3">
        <v>24400</v>
      </c>
    </row>
    <row r="261" spans="2:7" ht="15.75" hidden="1" thickBot="1">
      <c r="B261" s="4" t="s">
        <v>523</v>
      </c>
      <c r="C261" s="4" t="s">
        <v>522</v>
      </c>
      <c r="D261" s="4" t="s">
        <v>227</v>
      </c>
      <c r="E261" s="4" t="s">
        <v>226</v>
      </c>
      <c r="F261" s="3">
        <v>8.4422709999999998E-2</v>
      </c>
      <c r="G261" s="3">
        <v>24680</v>
      </c>
    </row>
    <row r="262" spans="2:7" ht="15.75" hidden="1" thickBot="1">
      <c r="B262" s="4" t="s">
        <v>523</v>
      </c>
      <c r="C262" s="4" t="s">
        <v>522</v>
      </c>
      <c r="D262" s="4" t="s">
        <v>231</v>
      </c>
      <c r="E262" s="4" t="s">
        <v>230</v>
      </c>
      <c r="F262" s="3">
        <v>5.7843923999999998E-2</v>
      </c>
      <c r="G262" s="3">
        <v>16910</v>
      </c>
    </row>
    <row r="263" spans="2:7" ht="15.75" hidden="1" thickBot="1">
      <c r="B263" s="4" t="s">
        <v>525</v>
      </c>
      <c r="C263" s="4" t="s">
        <v>524</v>
      </c>
      <c r="D263" s="4" t="s">
        <v>238</v>
      </c>
      <c r="E263" s="4" t="s">
        <v>237</v>
      </c>
      <c r="F263" s="3">
        <v>6.6308441999999995E-2</v>
      </c>
      <c r="G263" s="3">
        <v>11695</v>
      </c>
    </row>
    <row r="264" spans="2:7" ht="15.75" hidden="1" thickBot="1">
      <c r="B264" s="4" t="s">
        <v>525</v>
      </c>
      <c r="C264" s="4" t="s">
        <v>524</v>
      </c>
      <c r="D264" s="4" t="s">
        <v>242</v>
      </c>
      <c r="E264" s="4" t="s">
        <v>241</v>
      </c>
      <c r="F264" s="3">
        <v>0.111808676</v>
      </c>
      <c r="G264" s="3">
        <v>19720</v>
      </c>
    </row>
    <row r="265" spans="2:7" ht="15.75" hidden="1" thickBot="1">
      <c r="B265" s="4" t="s">
        <v>525</v>
      </c>
      <c r="C265" s="4" t="s">
        <v>524</v>
      </c>
      <c r="D265" s="4" t="s">
        <v>444</v>
      </c>
      <c r="E265" s="4" t="s">
        <v>443</v>
      </c>
      <c r="F265" s="3">
        <v>6.9329335000000006E-2</v>
      </c>
      <c r="G265" s="3">
        <v>37440</v>
      </c>
    </row>
    <row r="266" spans="2:7" ht="15.75" hidden="1" thickBot="1">
      <c r="B266" s="4" t="s">
        <v>525</v>
      </c>
      <c r="C266" s="4" t="s">
        <v>524</v>
      </c>
      <c r="D266" s="4" t="s">
        <v>448</v>
      </c>
      <c r="E266" s="4" t="s">
        <v>447</v>
      </c>
      <c r="F266" s="3">
        <v>8.9728158000000002E-2</v>
      </c>
      <c r="G266" s="3">
        <v>48456</v>
      </c>
    </row>
    <row r="267" spans="2:7" ht="15.75" hidden="1" thickBot="1">
      <c r="B267" s="4" t="s">
        <v>525</v>
      </c>
      <c r="C267" s="4" t="s">
        <v>524</v>
      </c>
      <c r="D267" s="4" t="s">
        <v>452</v>
      </c>
      <c r="E267" s="4" t="s">
        <v>451</v>
      </c>
      <c r="F267" s="3">
        <v>2.4991151E-2</v>
      </c>
      <c r="G267" s="3">
        <v>13496</v>
      </c>
    </row>
    <row r="268" spans="2:7" ht="15.75" hidden="1" thickBot="1">
      <c r="B268" s="4" t="s">
        <v>525</v>
      </c>
      <c r="C268" s="4" t="s">
        <v>524</v>
      </c>
      <c r="D268" s="4" t="s">
        <v>456</v>
      </c>
      <c r="E268" s="4" t="s">
        <v>455</v>
      </c>
      <c r="F268" s="3">
        <v>3.9508833E-2</v>
      </c>
      <c r="G268" s="3">
        <v>21336</v>
      </c>
    </row>
    <row r="269" spans="2:7" ht="15.75" hidden="1" thickBot="1">
      <c r="B269" s="4" t="s">
        <v>525</v>
      </c>
      <c r="C269" s="4" t="s">
        <v>524</v>
      </c>
      <c r="D269" s="4" t="s">
        <v>459</v>
      </c>
      <c r="E269" s="4" t="s">
        <v>458</v>
      </c>
      <c r="F269" s="3">
        <v>2.4717092999999999E-2</v>
      </c>
      <c r="G269" s="3">
        <v>13348</v>
      </c>
    </row>
    <row r="270" spans="2:7" ht="15.75" hidden="1" thickBot="1">
      <c r="B270" s="4" t="s">
        <v>525</v>
      </c>
      <c r="C270" s="4" t="s">
        <v>524</v>
      </c>
      <c r="D270" s="4" t="s">
        <v>463</v>
      </c>
      <c r="E270" s="4" t="s">
        <v>462</v>
      </c>
      <c r="F270" s="3">
        <v>4.8145369999999998E-3</v>
      </c>
      <c r="G270" s="3">
        <v>2600</v>
      </c>
    </row>
    <row r="271" spans="2:7" ht="15.75" hidden="1" thickBot="1">
      <c r="B271" s="4" t="s">
        <v>525</v>
      </c>
      <c r="C271" s="4" t="s">
        <v>524</v>
      </c>
      <c r="D271" s="4" t="s">
        <v>467</v>
      </c>
      <c r="E271" s="4" t="s">
        <v>466</v>
      </c>
      <c r="F271" s="3">
        <v>2.6813269999999998E-3</v>
      </c>
      <c r="G271" s="3">
        <v>1448</v>
      </c>
    </row>
    <row r="272" spans="2:7" ht="15.75" hidden="1" thickBot="1">
      <c r="B272" s="4" t="s">
        <v>525</v>
      </c>
      <c r="C272" s="4" t="s">
        <v>524</v>
      </c>
      <c r="D272" s="4" t="s">
        <v>471</v>
      </c>
      <c r="E272" s="4" t="s">
        <v>470</v>
      </c>
      <c r="F272" s="3">
        <v>5.1404440000000001E-3</v>
      </c>
      <c r="G272" s="3">
        <v>2776</v>
      </c>
    </row>
    <row r="273" spans="2:9" ht="15.75" hidden="1" thickBot="1">
      <c r="B273" s="4" t="s">
        <v>525</v>
      </c>
      <c r="C273" s="4" t="s">
        <v>524</v>
      </c>
      <c r="D273" s="4" t="s">
        <v>475</v>
      </c>
      <c r="E273" s="4" t="s">
        <v>474</v>
      </c>
      <c r="F273" s="3">
        <v>2.6665130000000001E-3</v>
      </c>
      <c r="G273" s="3">
        <v>1440</v>
      </c>
    </row>
    <row r="274" spans="2:9" ht="15.75" hidden="1" thickBot="1">
      <c r="B274" s="4" t="s">
        <v>525</v>
      </c>
      <c r="C274" s="4" t="s">
        <v>524</v>
      </c>
      <c r="D274" s="4" t="s">
        <v>479</v>
      </c>
      <c r="E274" s="4" t="s">
        <v>478</v>
      </c>
      <c r="F274" s="3">
        <v>3.7862631000000001E-2</v>
      </c>
      <c r="G274" s="3">
        <v>20447</v>
      </c>
    </row>
    <row r="275" spans="2:9" ht="23.25" hidden="1" thickBot="1">
      <c r="B275" s="4" t="s">
        <v>525</v>
      </c>
      <c r="C275" s="4" t="s">
        <v>524</v>
      </c>
      <c r="D275" s="4" t="s">
        <v>483</v>
      </c>
      <c r="E275" s="4" t="s">
        <v>482</v>
      </c>
      <c r="F275" s="3">
        <v>5.5981955999999999E-2</v>
      </c>
      <c r="G275" s="3">
        <v>30232</v>
      </c>
    </row>
    <row r="276" spans="2:9" ht="15.75" hidden="1" thickBot="1">
      <c r="B276" s="4" t="s">
        <v>525</v>
      </c>
      <c r="C276" s="4" t="s">
        <v>524</v>
      </c>
      <c r="D276" s="4" t="s">
        <v>487</v>
      </c>
      <c r="E276" s="4" t="s">
        <v>486</v>
      </c>
      <c r="F276" s="3">
        <v>7.5764116000000006E-2</v>
      </c>
      <c r="G276" s="3">
        <v>40048</v>
      </c>
    </row>
    <row r="277" spans="2:9" ht="15.75" hidden="1" thickBot="1">
      <c r="B277" s="4" t="s">
        <v>525</v>
      </c>
      <c r="C277" s="4" t="s">
        <v>524</v>
      </c>
      <c r="D277" s="4" t="s">
        <v>491</v>
      </c>
      <c r="E277" s="4" t="s">
        <v>490</v>
      </c>
      <c r="F277" s="3">
        <v>0.100216442</v>
      </c>
      <c r="G277" s="3">
        <v>54120</v>
      </c>
    </row>
    <row r="278" spans="2:9" ht="23.25" hidden="1" thickBot="1">
      <c r="B278" s="4" t="s">
        <v>525</v>
      </c>
      <c r="C278" s="4" t="s">
        <v>524</v>
      </c>
      <c r="D278" s="4" t="s">
        <v>495</v>
      </c>
      <c r="E278" s="4" t="s">
        <v>494</v>
      </c>
      <c r="F278" s="3">
        <v>7.3372838999999995E-2</v>
      </c>
      <c r="G278" s="3">
        <v>38784</v>
      </c>
    </row>
    <row r="279" spans="2:9" ht="15.75" hidden="1" thickBot="1">
      <c r="B279" s="4" t="s">
        <v>525</v>
      </c>
      <c r="C279" s="4" t="s">
        <v>524</v>
      </c>
      <c r="D279" s="4" t="s">
        <v>267</v>
      </c>
      <c r="E279" s="4" t="s">
        <v>266</v>
      </c>
      <c r="F279" s="3">
        <v>2.1140611850000002</v>
      </c>
      <c r="G279" s="3">
        <v>542180</v>
      </c>
    </row>
    <row r="280" spans="2:9" ht="15.75" hidden="1" thickBot="1">
      <c r="B280" s="4" t="s">
        <v>525</v>
      </c>
      <c r="C280" s="4" t="s">
        <v>524</v>
      </c>
      <c r="D280" s="4" t="s">
        <v>499</v>
      </c>
      <c r="E280" s="4" t="s">
        <v>498</v>
      </c>
      <c r="F280" s="3">
        <v>0.176288537</v>
      </c>
      <c r="G280" s="3">
        <v>93184</v>
      </c>
    </row>
    <row r="281" spans="2:9" ht="15.75" hidden="1" thickBot="1">
      <c r="B281" s="4" t="s">
        <v>525</v>
      </c>
      <c r="C281" s="4" t="s">
        <v>524</v>
      </c>
      <c r="D281" s="4" t="s">
        <v>503</v>
      </c>
      <c r="E281" s="4" t="s">
        <v>502</v>
      </c>
      <c r="F281" s="3">
        <v>8.9757786000000006E-2</v>
      </c>
      <c r="G281" s="3">
        <v>48472</v>
      </c>
    </row>
    <row r="282" spans="2:9" ht="15.75" hidden="1" thickBot="1"/>
    <row r="283" spans="2:9" ht="15.75" hidden="1" thickBot="1">
      <c r="B283" s="4" t="s">
        <v>152</v>
      </c>
      <c r="C283" s="4" t="s">
        <v>151</v>
      </c>
      <c r="D283" s="4" t="s">
        <v>537</v>
      </c>
      <c r="E283" s="4" t="s">
        <v>536</v>
      </c>
      <c r="H283" s="3">
        <v>280.55900000000003</v>
      </c>
      <c r="I283" s="3">
        <v>764905</v>
      </c>
    </row>
    <row r="284" spans="2:9" ht="15.75" hidden="1" thickBot="1">
      <c r="B284" s="4" t="s">
        <v>235</v>
      </c>
      <c r="C284" s="4" t="s">
        <v>234</v>
      </c>
      <c r="D284" s="4" t="s">
        <v>537</v>
      </c>
      <c r="E284" s="4" t="s">
        <v>536</v>
      </c>
      <c r="H284" s="3">
        <v>3.8380000000000001</v>
      </c>
      <c r="I284" s="3">
        <v>826315</v>
      </c>
    </row>
    <row r="285" spans="2:9" ht="15.75" hidden="1" thickBot="1">
      <c r="B285" s="4" t="s">
        <v>521</v>
      </c>
      <c r="C285" s="4" t="s">
        <v>520</v>
      </c>
      <c r="D285" s="4" t="s">
        <v>537</v>
      </c>
      <c r="E285" s="4" t="s">
        <v>536</v>
      </c>
      <c r="H285" s="3">
        <v>5.2190000000000003</v>
      </c>
      <c r="I285" s="3">
        <v>826315</v>
      </c>
    </row>
    <row r="286" spans="2:9" ht="15.75" hidden="1" thickBot="1">
      <c r="B286" s="4" t="s">
        <v>235</v>
      </c>
      <c r="C286" s="4" t="s">
        <v>234</v>
      </c>
      <c r="D286" s="4" t="s">
        <v>541</v>
      </c>
      <c r="E286" s="4" t="s">
        <v>540</v>
      </c>
      <c r="H286" s="3">
        <v>0.107</v>
      </c>
      <c r="I286" s="3">
        <v>6360</v>
      </c>
    </row>
    <row r="287" spans="2:9" ht="15.75" hidden="1" thickBot="1">
      <c r="B287" s="4" t="s">
        <v>296</v>
      </c>
      <c r="C287" s="4" t="s">
        <v>295</v>
      </c>
      <c r="D287" s="4" t="s">
        <v>541</v>
      </c>
      <c r="E287" s="4" t="s">
        <v>540</v>
      </c>
      <c r="H287" s="3">
        <v>5.8000000000000003E-2</v>
      </c>
      <c r="I287" s="3">
        <v>6360</v>
      </c>
    </row>
    <row r="288" spans="2:9" ht="15.75" hidden="1" thickBot="1">
      <c r="B288" s="4" t="s">
        <v>507</v>
      </c>
      <c r="C288" s="4" t="s">
        <v>506</v>
      </c>
      <c r="D288" s="4" t="s">
        <v>541</v>
      </c>
      <c r="E288" s="4" t="s">
        <v>540</v>
      </c>
      <c r="H288" s="3">
        <v>0.625</v>
      </c>
      <c r="I288" s="3">
        <v>6360</v>
      </c>
    </row>
    <row r="289" spans="2:9" ht="23.25" hidden="1" thickBot="1">
      <c r="B289" s="4" t="s">
        <v>127</v>
      </c>
      <c r="C289" s="4" t="s">
        <v>126</v>
      </c>
      <c r="D289" s="4" t="s">
        <v>544</v>
      </c>
      <c r="E289" s="4" t="s">
        <v>543</v>
      </c>
      <c r="H289" s="3">
        <v>1.5</v>
      </c>
      <c r="I289" s="3">
        <v>74380</v>
      </c>
    </row>
    <row r="290" spans="2:9" ht="15.75" hidden="1" thickBot="1">
      <c r="B290" s="4" t="s">
        <v>521</v>
      </c>
      <c r="C290" s="4" t="s">
        <v>520</v>
      </c>
      <c r="D290" s="4" t="s">
        <v>544</v>
      </c>
      <c r="E290" s="4" t="s">
        <v>543</v>
      </c>
      <c r="H290" s="3">
        <v>0.53900000000000003</v>
      </c>
      <c r="I290" s="3">
        <v>76850</v>
      </c>
    </row>
    <row r="291" spans="2:9" ht="15.75" hidden="1" thickBot="1">
      <c r="B291" s="4" t="s">
        <v>152</v>
      </c>
      <c r="C291" s="4" t="s">
        <v>151</v>
      </c>
      <c r="D291" s="4" t="s">
        <v>548</v>
      </c>
      <c r="E291" s="4" t="s">
        <v>547</v>
      </c>
      <c r="H291" s="3">
        <v>135.721</v>
      </c>
      <c r="I291" s="3">
        <v>193850</v>
      </c>
    </row>
    <row r="292" spans="2:9" ht="15.75" hidden="1" thickBot="1">
      <c r="B292" s="4" t="s">
        <v>235</v>
      </c>
      <c r="C292" s="4" t="s">
        <v>234</v>
      </c>
      <c r="D292" s="4" t="s">
        <v>548</v>
      </c>
      <c r="E292" s="4" t="s">
        <v>547</v>
      </c>
      <c r="H292" s="3">
        <v>1.0229999999999999</v>
      </c>
      <c r="I292" s="3">
        <v>200890</v>
      </c>
    </row>
    <row r="293" spans="2:9" ht="15.75" hidden="1" thickBot="1">
      <c r="B293" s="4" t="s">
        <v>521</v>
      </c>
      <c r="C293" s="4" t="s">
        <v>520</v>
      </c>
      <c r="D293" s="4" t="s">
        <v>548</v>
      </c>
      <c r="E293" s="4" t="s">
        <v>547</v>
      </c>
      <c r="H293" s="3">
        <v>1.3839999999999999</v>
      </c>
      <c r="I293" s="3">
        <v>200890</v>
      </c>
    </row>
    <row r="294" spans="2:9" ht="15.75" hidden="1" thickBot="1">
      <c r="B294" s="4" t="s">
        <v>235</v>
      </c>
      <c r="C294" s="4" t="s">
        <v>234</v>
      </c>
      <c r="D294" s="4" t="s">
        <v>552</v>
      </c>
      <c r="E294" s="4" t="s">
        <v>551</v>
      </c>
      <c r="H294" s="3">
        <v>6.9000000000000006E-2</v>
      </c>
      <c r="I294" s="3">
        <v>4020</v>
      </c>
    </row>
    <row r="295" spans="2:9" ht="15.75" hidden="1" thickBot="1">
      <c r="B295" s="4" t="s">
        <v>296</v>
      </c>
      <c r="C295" s="4" t="s">
        <v>295</v>
      </c>
      <c r="D295" s="4" t="s">
        <v>552</v>
      </c>
      <c r="E295" s="4" t="s">
        <v>551</v>
      </c>
      <c r="H295" s="3">
        <v>3.7999999999999999E-2</v>
      </c>
      <c r="I295" s="3">
        <v>4020</v>
      </c>
    </row>
    <row r="296" spans="2:9" ht="15.75" hidden="1" thickBot="1">
      <c r="B296" s="4" t="s">
        <v>507</v>
      </c>
      <c r="C296" s="4" t="s">
        <v>506</v>
      </c>
      <c r="D296" s="4" t="s">
        <v>552</v>
      </c>
      <c r="E296" s="4" t="s">
        <v>551</v>
      </c>
      <c r="H296" s="3">
        <v>0.40300000000000002</v>
      </c>
      <c r="I296" s="3">
        <v>4020</v>
      </c>
    </row>
    <row r="297" spans="2:9" ht="15.75" hidden="1" thickBot="1">
      <c r="B297" s="4" t="s">
        <v>235</v>
      </c>
      <c r="C297" s="4" t="s">
        <v>234</v>
      </c>
      <c r="D297" s="4" t="s">
        <v>555</v>
      </c>
      <c r="E297" s="4" t="s">
        <v>554</v>
      </c>
      <c r="H297" s="3">
        <v>7.0999999999999994E-2</v>
      </c>
      <c r="I297" s="3">
        <v>4150</v>
      </c>
    </row>
    <row r="298" spans="2:9" ht="15.75" hidden="1" thickBot="1">
      <c r="B298" s="4" t="s">
        <v>296</v>
      </c>
      <c r="C298" s="4" t="s">
        <v>295</v>
      </c>
      <c r="D298" s="4" t="s">
        <v>555</v>
      </c>
      <c r="E298" s="4" t="s">
        <v>554</v>
      </c>
      <c r="H298" s="3">
        <v>3.9E-2</v>
      </c>
      <c r="I298" s="3">
        <v>4150</v>
      </c>
    </row>
    <row r="299" spans="2:9" ht="15.75" hidden="1" thickBot="1">
      <c r="B299" s="4" t="s">
        <v>507</v>
      </c>
      <c r="C299" s="4" t="s">
        <v>506</v>
      </c>
      <c r="D299" s="4" t="s">
        <v>555</v>
      </c>
      <c r="E299" s="4" t="s">
        <v>554</v>
      </c>
      <c r="H299" s="3">
        <v>0.41599999999999998</v>
      </c>
      <c r="I299" s="3">
        <v>4150</v>
      </c>
    </row>
    <row r="300" spans="2:9" ht="15.75" hidden="1" thickBot="1">
      <c r="B300" s="4" t="s">
        <v>442</v>
      </c>
      <c r="C300" s="4" t="s">
        <v>441</v>
      </c>
      <c r="D300" s="4" t="s">
        <v>558</v>
      </c>
      <c r="E300" s="4" t="s">
        <v>557</v>
      </c>
      <c r="H300" s="3">
        <v>2.0880000000000001</v>
      </c>
      <c r="I300" s="3">
        <v>147060</v>
      </c>
    </row>
    <row r="301" spans="2:9" ht="15.75" hidden="1" thickBot="1">
      <c r="B301" s="4" t="s">
        <v>507</v>
      </c>
      <c r="C301" s="4" t="s">
        <v>506</v>
      </c>
      <c r="D301" s="4" t="s">
        <v>558</v>
      </c>
      <c r="E301" s="4" t="s">
        <v>557</v>
      </c>
      <c r="H301" s="3">
        <v>31.96</v>
      </c>
      <c r="I301" s="3">
        <v>147060</v>
      </c>
    </row>
    <row r="302" spans="2:9" ht="15.75" hidden="1" thickBot="1">
      <c r="B302" s="4" t="s">
        <v>525</v>
      </c>
      <c r="C302" s="4" t="s">
        <v>524</v>
      </c>
      <c r="D302" s="4" t="s">
        <v>558</v>
      </c>
      <c r="E302" s="4" t="s">
        <v>557</v>
      </c>
      <c r="H302" s="3">
        <v>1.2969999999999999</v>
      </c>
      <c r="I302" s="3">
        <v>140960</v>
      </c>
    </row>
    <row r="303" spans="2:9" ht="15.75" hidden="1" thickBot="1">
      <c r="B303" s="4" t="s">
        <v>442</v>
      </c>
      <c r="C303" s="4" t="s">
        <v>441</v>
      </c>
      <c r="D303" s="4" t="s">
        <v>562</v>
      </c>
      <c r="E303" s="4" t="s">
        <v>561</v>
      </c>
      <c r="H303" s="3">
        <v>7.3999999999999996E-2</v>
      </c>
      <c r="I303" s="3">
        <v>6100</v>
      </c>
    </row>
    <row r="304" spans="2:9" ht="15.75" hidden="1" thickBot="1">
      <c r="B304" s="4" t="s">
        <v>507</v>
      </c>
      <c r="C304" s="4" t="s">
        <v>506</v>
      </c>
      <c r="D304" s="4" t="s">
        <v>562</v>
      </c>
      <c r="E304" s="4" t="s">
        <v>561</v>
      </c>
      <c r="H304" s="3">
        <v>1.23</v>
      </c>
      <c r="I304" s="3">
        <v>6100</v>
      </c>
    </row>
    <row r="305" spans="2:9" ht="23.25" hidden="1" thickBot="1">
      <c r="B305" s="4" t="s">
        <v>62</v>
      </c>
      <c r="C305" s="4" t="s">
        <v>61</v>
      </c>
      <c r="D305" s="4" t="s">
        <v>565</v>
      </c>
      <c r="E305" s="4" t="s">
        <v>564</v>
      </c>
      <c r="H305" s="3">
        <v>1.4590000000000001</v>
      </c>
      <c r="I305" s="3">
        <v>192735</v>
      </c>
    </row>
    <row r="306" spans="2:9" ht="15.75" hidden="1" thickBot="1">
      <c r="B306" s="4" t="s">
        <v>507</v>
      </c>
      <c r="C306" s="4" t="s">
        <v>506</v>
      </c>
      <c r="D306" s="4" t="s">
        <v>565</v>
      </c>
      <c r="E306" s="4" t="s">
        <v>564</v>
      </c>
      <c r="H306" s="3">
        <v>40.628</v>
      </c>
      <c r="I306" s="3">
        <v>192735</v>
      </c>
    </row>
    <row r="307" spans="2:9" ht="15.75" hidden="1" thickBot="1">
      <c r="B307" s="4" t="s">
        <v>521</v>
      </c>
      <c r="C307" s="4" t="s">
        <v>520</v>
      </c>
      <c r="D307" s="4" t="s">
        <v>565</v>
      </c>
      <c r="E307" s="4" t="s">
        <v>564</v>
      </c>
      <c r="H307" s="3">
        <v>0.93400000000000005</v>
      </c>
      <c r="I307" s="3">
        <v>192735</v>
      </c>
    </row>
    <row r="308" spans="2:9" ht="23.25" hidden="1" thickBot="1">
      <c r="B308" s="4" t="s">
        <v>127</v>
      </c>
      <c r="C308" s="4" t="s">
        <v>126</v>
      </c>
      <c r="D308" s="4" t="s">
        <v>568</v>
      </c>
      <c r="E308" s="4" t="s">
        <v>567</v>
      </c>
      <c r="H308" s="3">
        <v>4.4710000000000001</v>
      </c>
      <c r="I308" s="3">
        <v>221490</v>
      </c>
    </row>
    <row r="309" spans="2:9" ht="15.75" hidden="1" thickBot="1">
      <c r="B309" s="4" t="s">
        <v>521</v>
      </c>
      <c r="C309" s="4" t="s">
        <v>520</v>
      </c>
      <c r="D309" s="4" t="s">
        <v>568</v>
      </c>
      <c r="E309" s="4" t="s">
        <v>567</v>
      </c>
      <c r="H309" s="3">
        <v>1.573</v>
      </c>
      <c r="I309" s="3">
        <v>226450</v>
      </c>
    </row>
    <row r="310" spans="2:9" ht="15.75" hidden="1" thickBot="1">
      <c r="B310" s="4" t="s">
        <v>442</v>
      </c>
      <c r="C310" s="4" t="s">
        <v>441</v>
      </c>
      <c r="D310" s="4" t="s">
        <v>572</v>
      </c>
      <c r="E310" s="4" t="s">
        <v>571</v>
      </c>
      <c r="H310" s="3">
        <v>4.9000000000000002E-2</v>
      </c>
      <c r="I310" s="3">
        <v>4010</v>
      </c>
    </row>
    <row r="311" spans="2:9" ht="15.75" hidden="1" thickBot="1">
      <c r="B311" s="4" t="s">
        <v>507</v>
      </c>
      <c r="C311" s="4" t="s">
        <v>506</v>
      </c>
      <c r="D311" s="4" t="s">
        <v>572</v>
      </c>
      <c r="E311" s="4" t="s">
        <v>571</v>
      </c>
      <c r="H311" s="3">
        <v>0.81</v>
      </c>
      <c r="I311" s="3">
        <v>4010</v>
      </c>
    </row>
    <row r="312" spans="2:9" ht="15.75" hidden="1" thickBot="1">
      <c r="B312" s="4" t="s">
        <v>525</v>
      </c>
      <c r="C312" s="4" t="s">
        <v>524</v>
      </c>
      <c r="D312" s="4" t="s">
        <v>572</v>
      </c>
      <c r="E312" s="4" t="s">
        <v>571</v>
      </c>
      <c r="H312" s="3">
        <v>3.4000000000000002E-2</v>
      </c>
      <c r="I312" s="3">
        <v>4010</v>
      </c>
    </row>
    <row r="313" spans="2:9" ht="15.75" hidden="1" thickBot="1">
      <c r="B313" s="4" t="s">
        <v>235</v>
      </c>
      <c r="C313" s="4" t="s">
        <v>234</v>
      </c>
      <c r="D313" s="4" t="s">
        <v>575</v>
      </c>
      <c r="E313" s="4" t="s">
        <v>574</v>
      </c>
      <c r="H313" s="3">
        <v>7.0000000000000007E-2</v>
      </c>
      <c r="I313" s="3">
        <v>6310</v>
      </c>
    </row>
    <row r="314" spans="2:9" ht="15.75" hidden="1" thickBot="1">
      <c r="B314" s="4" t="s">
        <v>525</v>
      </c>
      <c r="C314" s="4" t="s">
        <v>524</v>
      </c>
      <c r="D314" s="4" t="s">
        <v>575</v>
      </c>
      <c r="E314" s="4" t="s">
        <v>574</v>
      </c>
      <c r="H314" s="3">
        <v>0.08</v>
      </c>
      <c r="I314" s="3">
        <v>6310</v>
      </c>
    </row>
    <row r="315" spans="2:9" ht="15.75" hidden="1" thickBot="1">
      <c r="B315" s="4" t="s">
        <v>235</v>
      </c>
      <c r="C315" s="4" t="s">
        <v>234</v>
      </c>
      <c r="D315" s="4" t="s">
        <v>578</v>
      </c>
      <c r="E315" s="4" t="s">
        <v>577</v>
      </c>
      <c r="H315" s="3">
        <v>1.54</v>
      </c>
      <c r="I315" s="3">
        <v>127556</v>
      </c>
    </row>
    <row r="316" spans="2:9" ht="15.75" hidden="1" thickBot="1">
      <c r="B316" s="4" t="s">
        <v>525</v>
      </c>
      <c r="C316" s="4" t="s">
        <v>524</v>
      </c>
      <c r="D316" s="4" t="s">
        <v>578</v>
      </c>
      <c r="E316" s="4" t="s">
        <v>577</v>
      </c>
      <c r="H316" s="3">
        <v>1.67</v>
      </c>
      <c r="I316" s="3">
        <v>121446</v>
      </c>
    </row>
    <row r="317" spans="2:9" ht="15.75" hidden="1" thickBot="1">
      <c r="B317" s="11" t="s">
        <v>16</v>
      </c>
      <c r="C317" s="4" t="s">
        <v>15</v>
      </c>
      <c r="D317" s="4" t="s">
        <v>582</v>
      </c>
      <c r="E317" s="4" t="s">
        <v>581</v>
      </c>
      <c r="H317" s="3">
        <v>0.97899999999999998</v>
      </c>
      <c r="I317" s="3">
        <v>42370</v>
      </c>
    </row>
    <row r="318" spans="2:9" ht="15.75" thickBot="1">
      <c r="B318" s="12" t="s">
        <v>150</v>
      </c>
      <c r="C318" s="4" t="s">
        <v>149</v>
      </c>
      <c r="D318" s="4" t="s">
        <v>582</v>
      </c>
      <c r="E318" s="4" t="s">
        <v>581</v>
      </c>
      <c r="H318" s="3">
        <v>0.52</v>
      </c>
      <c r="I318" s="3">
        <v>42370</v>
      </c>
    </row>
    <row r="319" spans="2:9" ht="15.75" hidden="1" thickBot="1">
      <c r="B319" s="4" t="s">
        <v>235</v>
      </c>
      <c r="C319" s="4" t="s">
        <v>234</v>
      </c>
      <c r="D319" s="4" t="s">
        <v>584</v>
      </c>
      <c r="E319" s="4" t="s">
        <v>583</v>
      </c>
      <c r="H319" s="3">
        <v>4.9000000000000002E-2</v>
      </c>
      <c r="I319" s="3">
        <v>4430</v>
      </c>
    </row>
    <row r="320" spans="2:9" ht="15.75" hidden="1" thickBot="1">
      <c r="B320" s="4" t="s">
        <v>525</v>
      </c>
      <c r="C320" s="4" t="s">
        <v>524</v>
      </c>
      <c r="D320" s="4" t="s">
        <v>584</v>
      </c>
      <c r="E320" s="4" t="s">
        <v>583</v>
      </c>
      <c r="H320" s="3">
        <v>5.3999999999999999E-2</v>
      </c>
      <c r="I320" s="3">
        <v>4430</v>
      </c>
    </row>
    <row r="321" spans="2:9" ht="15.75" hidden="1" thickBot="1">
      <c r="B321" s="4" t="s">
        <v>235</v>
      </c>
      <c r="C321" s="4" t="s">
        <v>234</v>
      </c>
      <c r="D321" s="4" t="s">
        <v>587</v>
      </c>
      <c r="E321" s="4" t="s">
        <v>586</v>
      </c>
      <c r="H321" s="3">
        <v>3.355</v>
      </c>
      <c r="I321" s="3">
        <v>196450</v>
      </c>
    </row>
    <row r="322" spans="2:9" ht="15.75" hidden="1" thickBot="1">
      <c r="B322" s="4" t="s">
        <v>296</v>
      </c>
      <c r="C322" s="4" t="s">
        <v>295</v>
      </c>
      <c r="D322" s="4" t="s">
        <v>587</v>
      </c>
      <c r="E322" s="4" t="s">
        <v>586</v>
      </c>
      <c r="H322" s="3">
        <v>1.839</v>
      </c>
      <c r="I322" s="3">
        <v>196450</v>
      </c>
    </row>
    <row r="323" spans="2:9" ht="15.75" hidden="1" thickBot="1">
      <c r="B323" s="4" t="s">
        <v>507</v>
      </c>
      <c r="C323" s="4" t="s">
        <v>506</v>
      </c>
      <c r="D323" s="4" t="s">
        <v>587</v>
      </c>
      <c r="E323" s="4" t="s">
        <v>586</v>
      </c>
      <c r="H323" s="3">
        <v>19.670999999999999</v>
      </c>
      <c r="I323" s="3">
        <v>196450</v>
      </c>
    </row>
    <row r="324" spans="2:9" ht="15.75" hidden="1" thickBot="1">
      <c r="B324" s="4" t="s">
        <v>235</v>
      </c>
      <c r="C324" s="4" t="s">
        <v>234</v>
      </c>
      <c r="D324" s="4" t="s">
        <v>590</v>
      </c>
      <c r="E324" s="4" t="s">
        <v>589</v>
      </c>
      <c r="H324" s="3">
        <v>0.20799999999999999</v>
      </c>
      <c r="I324" s="3">
        <v>12220</v>
      </c>
    </row>
    <row r="325" spans="2:9" ht="15.75" hidden="1" thickBot="1">
      <c r="B325" s="4" t="s">
        <v>296</v>
      </c>
      <c r="C325" s="4" t="s">
        <v>295</v>
      </c>
      <c r="D325" s="4" t="s">
        <v>590</v>
      </c>
      <c r="E325" s="4" t="s">
        <v>589</v>
      </c>
      <c r="H325" s="3">
        <v>0.114</v>
      </c>
      <c r="I325" s="3">
        <v>12220</v>
      </c>
    </row>
    <row r="326" spans="2:9" ht="15.75" hidden="1" thickBot="1">
      <c r="B326" s="4" t="s">
        <v>507</v>
      </c>
      <c r="C326" s="4" t="s">
        <v>506</v>
      </c>
      <c r="D326" s="4" t="s">
        <v>590</v>
      </c>
      <c r="E326" s="4" t="s">
        <v>589</v>
      </c>
      <c r="H326" s="3">
        <v>1.224</v>
      </c>
      <c r="I326" s="3">
        <v>12220</v>
      </c>
    </row>
    <row r="327" spans="2:9" ht="15.75" hidden="1" thickBot="1">
      <c r="B327" s="4" t="s">
        <v>235</v>
      </c>
      <c r="C327" s="4" t="s">
        <v>234</v>
      </c>
      <c r="D327" s="4" t="s">
        <v>593</v>
      </c>
      <c r="E327" s="4" t="s">
        <v>592</v>
      </c>
      <c r="H327" s="3">
        <v>2.5950000000000002</v>
      </c>
      <c r="I327" s="3">
        <v>152100</v>
      </c>
    </row>
    <row r="328" spans="2:9" ht="15.75" hidden="1" thickBot="1">
      <c r="B328" s="4" t="s">
        <v>296</v>
      </c>
      <c r="C328" s="4" t="s">
        <v>295</v>
      </c>
      <c r="D328" s="4" t="s">
        <v>593</v>
      </c>
      <c r="E328" s="4" t="s">
        <v>592</v>
      </c>
      <c r="H328" s="3">
        <v>1.425</v>
      </c>
      <c r="I328" s="3">
        <v>152100</v>
      </c>
    </row>
    <row r="329" spans="2:9" ht="15.75" hidden="1" thickBot="1">
      <c r="B329" s="4" t="s">
        <v>507</v>
      </c>
      <c r="C329" s="4" t="s">
        <v>506</v>
      </c>
      <c r="D329" s="4" t="s">
        <v>593</v>
      </c>
      <c r="E329" s="4" t="s">
        <v>592</v>
      </c>
      <c r="H329" s="3">
        <v>15.23</v>
      </c>
      <c r="I329" s="3">
        <v>152100</v>
      </c>
    </row>
    <row r="330" spans="2:9" ht="15.75" hidden="1" thickBot="1">
      <c r="B330" s="4" t="s">
        <v>507</v>
      </c>
      <c r="C330" s="4" t="s">
        <v>506</v>
      </c>
      <c r="D330" s="4" t="s">
        <v>596</v>
      </c>
      <c r="E330" s="4" t="s">
        <v>595</v>
      </c>
      <c r="H330" s="3">
        <v>14.34</v>
      </c>
      <c r="I330" s="3">
        <v>178100</v>
      </c>
    </row>
    <row r="331" spans="2:9" ht="15.75" hidden="1" thickBot="1">
      <c r="B331" s="4" t="s">
        <v>523</v>
      </c>
      <c r="C331" s="4" t="s">
        <v>522</v>
      </c>
      <c r="D331" s="4" t="s">
        <v>596</v>
      </c>
      <c r="E331" s="4" t="s">
        <v>595</v>
      </c>
      <c r="H331" s="3">
        <v>2.4119999999999999</v>
      </c>
      <c r="I331" s="3">
        <v>178100</v>
      </c>
    </row>
    <row r="332" spans="2:9" ht="15.75" hidden="1" thickBot="1">
      <c r="B332" s="4" t="s">
        <v>298</v>
      </c>
      <c r="C332" s="4" t="s">
        <v>297</v>
      </c>
      <c r="D332" s="4" t="s">
        <v>599</v>
      </c>
      <c r="E332" s="4" t="s">
        <v>598</v>
      </c>
      <c r="H332" s="3">
        <v>6.681</v>
      </c>
      <c r="I332" s="3">
        <v>724269</v>
      </c>
    </row>
    <row r="333" spans="2:9" ht="15.75" hidden="1" thickBot="1">
      <c r="B333" s="4" t="s">
        <v>507</v>
      </c>
      <c r="C333" s="4" t="s">
        <v>506</v>
      </c>
      <c r="D333" s="4" t="s">
        <v>599</v>
      </c>
      <c r="E333" s="4" t="s">
        <v>598</v>
      </c>
      <c r="H333" s="3">
        <v>96.38</v>
      </c>
      <c r="I333" s="3">
        <v>724269</v>
      </c>
    </row>
    <row r="334" spans="2:9" ht="15.75" hidden="1" thickBot="1">
      <c r="B334" s="4" t="s">
        <v>298</v>
      </c>
      <c r="C334" s="4" t="s">
        <v>297</v>
      </c>
      <c r="D334" s="4" t="s">
        <v>602</v>
      </c>
      <c r="E334" s="4" t="s">
        <v>601</v>
      </c>
      <c r="H334" s="3">
        <v>0.97799999999999998</v>
      </c>
      <c r="I334" s="3">
        <v>108203</v>
      </c>
    </row>
    <row r="335" spans="2:9" ht="15.75" hidden="1" thickBot="1">
      <c r="B335" s="4" t="s">
        <v>507</v>
      </c>
      <c r="C335" s="4" t="s">
        <v>506</v>
      </c>
      <c r="D335" s="4" t="s">
        <v>602</v>
      </c>
      <c r="E335" s="4" t="s">
        <v>601</v>
      </c>
      <c r="H335" s="3">
        <v>14.11</v>
      </c>
      <c r="I335" s="3">
        <v>108203</v>
      </c>
    </row>
    <row r="336" spans="2:9" ht="15.75" hidden="1" thickBot="1">
      <c r="B336" s="11" t="s">
        <v>16</v>
      </c>
      <c r="C336" s="4" t="s">
        <v>15</v>
      </c>
      <c r="D336" s="4" t="s">
        <v>605</v>
      </c>
      <c r="E336" s="4" t="s">
        <v>604</v>
      </c>
      <c r="H336" s="3">
        <v>0.56799999999999995</v>
      </c>
      <c r="I336" s="3">
        <v>18440</v>
      </c>
    </row>
    <row r="337" spans="2:9" ht="15.75" thickBot="1">
      <c r="B337" s="12" t="s">
        <v>150</v>
      </c>
      <c r="C337" s="4" t="s">
        <v>149</v>
      </c>
      <c r="D337" s="4" t="s">
        <v>605</v>
      </c>
      <c r="E337" s="4" t="s">
        <v>604</v>
      </c>
      <c r="H337" s="3">
        <v>0.371</v>
      </c>
      <c r="I337" s="3">
        <v>18440</v>
      </c>
    </row>
    <row r="338" spans="2:9" ht="15.75" hidden="1" thickBot="1">
      <c r="B338" s="4" t="s">
        <v>235</v>
      </c>
      <c r="C338" s="4" t="s">
        <v>234</v>
      </c>
      <c r="D338" s="4" t="s">
        <v>607</v>
      </c>
      <c r="E338" s="4" t="s">
        <v>606</v>
      </c>
      <c r="H338" s="3">
        <v>0.02</v>
      </c>
      <c r="I338" s="3">
        <v>1700</v>
      </c>
    </row>
    <row r="339" spans="2:9" ht="15.75" hidden="1" thickBot="1">
      <c r="B339" s="4" t="s">
        <v>525</v>
      </c>
      <c r="C339" s="4" t="s">
        <v>524</v>
      </c>
      <c r="D339" s="4" t="s">
        <v>607</v>
      </c>
      <c r="E339" s="4" t="s">
        <v>606</v>
      </c>
      <c r="H339" s="3">
        <v>0.03</v>
      </c>
      <c r="I339" s="3">
        <v>1700</v>
      </c>
    </row>
    <row r="340" spans="2:9" ht="15.75" hidden="1" thickBot="1">
      <c r="B340" s="11" t="s">
        <v>16</v>
      </c>
      <c r="C340" s="4" t="s">
        <v>15</v>
      </c>
      <c r="D340" s="4" t="s">
        <v>610</v>
      </c>
      <c r="E340" s="4" t="s">
        <v>609</v>
      </c>
      <c r="H340" s="3">
        <v>3.8039999999999998</v>
      </c>
      <c r="I340" s="3">
        <v>164840</v>
      </c>
    </row>
    <row r="341" spans="2:9" ht="15.75" thickBot="1">
      <c r="B341" s="12" t="s">
        <v>150</v>
      </c>
      <c r="C341" s="4" t="s">
        <v>149</v>
      </c>
      <c r="D341" s="4" t="s">
        <v>610</v>
      </c>
      <c r="E341" s="4" t="s">
        <v>609</v>
      </c>
      <c r="H341" s="3">
        <v>2.081</v>
      </c>
      <c r="I341" s="3">
        <v>164840</v>
      </c>
    </row>
    <row r="342" spans="2:9" ht="15.75" hidden="1" thickBot="1">
      <c r="B342" s="11" t="s">
        <v>16</v>
      </c>
      <c r="C342" s="4" t="s">
        <v>15</v>
      </c>
      <c r="D342" s="4" t="s">
        <v>612</v>
      </c>
      <c r="E342" s="4" t="s">
        <v>611</v>
      </c>
      <c r="H342" s="3">
        <v>0.43</v>
      </c>
      <c r="I342" s="3">
        <v>18580</v>
      </c>
    </row>
    <row r="343" spans="2:9" ht="15.75" thickBot="1">
      <c r="B343" s="12" t="s">
        <v>150</v>
      </c>
      <c r="C343" s="4" t="s">
        <v>149</v>
      </c>
      <c r="D343" s="4" t="s">
        <v>612</v>
      </c>
      <c r="E343" s="4" t="s">
        <v>611</v>
      </c>
      <c r="H343" s="3">
        <v>0.24099999999999999</v>
      </c>
      <c r="I343" s="3">
        <v>18580</v>
      </c>
    </row>
    <row r="344" spans="2:9" ht="15.75" hidden="1" thickBot="1">
      <c r="B344" s="4" t="s">
        <v>116</v>
      </c>
      <c r="C344" s="4" t="s">
        <v>115</v>
      </c>
      <c r="D344" s="4" t="s">
        <v>614</v>
      </c>
      <c r="E344" s="4" t="s">
        <v>613</v>
      </c>
      <c r="H344" s="3">
        <v>2.1190000000000002</v>
      </c>
      <c r="I344" s="3">
        <v>11867</v>
      </c>
    </row>
    <row r="345" spans="2:9" ht="15.75" hidden="1" thickBot="1">
      <c r="B345" s="4" t="s">
        <v>507</v>
      </c>
      <c r="C345" s="4" t="s">
        <v>506</v>
      </c>
      <c r="D345" s="4" t="s">
        <v>614</v>
      </c>
      <c r="E345" s="4" t="s">
        <v>613</v>
      </c>
      <c r="H345" s="3">
        <v>0.70799999999999996</v>
      </c>
      <c r="I345" s="3">
        <v>11867</v>
      </c>
    </row>
    <row r="346" spans="2:9" ht="15.75" hidden="1" thickBot="1">
      <c r="B346" s="4" t="s">
        <v>152</v>
      </c>
      <c r="C346" s="4" t="s">
        <v>151</v>
      </c>
      <c r="D346" s="4" t="s">
        <v>617</v>
      </c>
      <c r="E346" s="4" t="s">
        <v>616</v>
      </c>
      <c r="H346" s="3">
        <v>9.843</v>
      </c>
      <c r="I346" s="3">
        <v>9840</v>
      </c>
    </row>
    <row r="347" spans="2:9" ht="15.75" hidden="1" thickBot="1">
      <c r="B347" s="4" t="s">
        <v>294</v>
      </c>
      <c r="C347" s="4" t="s">
        <v>293</v>
      </c>
      <c r="D347" s="4" t="s">
        <v>617</v>
      </c>
      <c r="E347" s="4" t="s">
        <v>616</v>
      </c>
      <c r="H347" s="3">
        <v>1.97</v>
      </c>
      <c r="I347" s="3">
        <v>9840</v>
      </c>
    </row>
    <row r="348" spans="2:9" ht="15.75" hidden="1" thickBot="1">
      <c r="B348" s="4" t="s">
        <v>152</v>
      </c>
      <c r="C348" s="4" t="s">
        <v>151</v>
      </c>
      <c r="D348" s="4" t="s">
        <v>620</v>
      </c>
      <c r="E348" s="4" t="s">
        <v>619</v>
      </c>
      <c r="H348" s="3">
        <v>9.1639999999999997</v>
      </c>
      <c r="I348" s="3">
        <v>9161</v>
      </c>
    </row>
    <row r="349" spans="2:9" ht="15.75" hidden="1" thickBot="1">
      <c r="B349" s="4" t="s">
        <v>294</v>
      </c>
      <c r="C349" s="4" t="s">
        <v>293</v>
      </c>
      <c r="D349" s="4" t="s">
        <v>620</v>
      </c>
      <c r="E349" s="4" t="s">
        <v>619</v>
      </c>
      <c r="H349" s="3">
        <v>1.835</v>
      </c>
      <c r="I349" s="3">
        <v>9161</v>
      </c>
    </row>
    <row r="350" spans="2:9" ht="23.25" hidden="1" thickBot="1">
      <c r="B350" s="4" t="s">
        <v>62</v>
      </c>
      <c r="C350" s="4" t="s">
        <v>61</v>
      </c>
      <c r="D350" s="4" t="s">
        <v>623</v>
      </c>
      <c r="E350" s="4" t="s">
        <v>622</v>
      </c>
      <c r="H350" s="3">
        <v>0.45500000000000002</v>
      </c>
      <c r="I350" s="3">
        <v>63065</v>
      </c>
    </row>
    <row r="351" spans="2:9" ht="15.75" hidden="1" thickBot="1">
      <c r="B351" s="4" t="s">
        <v>507</v>
      </c>
      <c r="C351" s="4" t="s">
        <v>506</v>
      </c>
      <c r="D351" s="4" t="s">
        <v>623</v>
      </c>
      <c r="E351" s="4" t="s">
        <v>622</v>
      </c>
      <c r="H351" s="3">
        <v>12.622999999999999</v>
      </c>
      <c r="I351" s="3">
        <v>63065</v>
      </c>
    </row>
    <row r="352" spans="2:9" ht="15.75" hidden="1" thickBot="1">
      <c r="B352" s="4" t="s">
        <v>521</v>
      </c>
      <c r="C352" s="4" t="s">
        <v>520</v>
      </c>
      <c r="D352" s="4" t="s">
        <v>623</v>
      </c>
      <c r="E352" s="4" t="s">
        <v>622</v>
      </c>
      <c r="H352" s="3">
        <v>0.29399999999999998</v>
      </c>
      <c r="I352" s="3">
        <v>63065</v>
      </c>
    </row>
    <row r="353" spans="2:9" ht="23.25" hidden="1" thickBot="1">
      <c r="B353" s="4" t="s">
        <v>127</v>
      </c>
      <c r="C353" s="4" t="s">
        <v>126</v>
      </c>
      <c r="D353" s="4" t="s">
        <v>626</v>
      </c>
      <c r="E353" s="4" t="s">
        <v>625</v>
      </c>
      <c r="H353" s="3">
        <v>0.32900000000000001</v>
      </c>
      <c r="I353" s="3">
        <v>16140</v>
      </c>
    </row>
    <row r="354" spans="2:9" ht="15.75" hidden="1" thickBot="1">
      <c r="B354" s="4" t="s">
        <v>521</v>
      </c>
      <c r="C354" s="4" t="s">
        <v>520</v>
      </c>
      <c r="D354" s="4" t="s">
        <v>626</v>
      </c>
      <c r="E354" s="4" t="s">
        <v>625</v>
      </c>
      <c r="H354" s="3">
        <v>0.113</v>
      </c>
      <c r="I354" s="3">
        <v>16140</v>
      </c>
    </row>
    <row r="355" spans="2:9" ht="15.75" hidden="1" thickBot="1">
      <c r="B355" s="13" t="s">
        <v>16</v>
      </c>
      <c r="C355" s="13" t="s">
        <v>15</v>
      </c>
      <c r="D355" s="13" t="s">
        <v>628</v>
      </c>
      <c r="E355" s="13" t="s">
        <v>627</v>
      </c>
      <c r="F355" s="15"/>
      <c r="G355" s="15"/>
      <c r="H355" s="14">
        <v>1.3280000000000001</v>
      </c>
      <c r="I355" s="3">
        <v>102590</v>
      </c>
    </row>
    <row r="356" spans="2:9" ht="15.75" hidden="1" thickBot="1">
      <c r="B356" s="4" t="s">
        <v>152</v>
      </c>
      <c r="C356" s="4" t="s">
        <v>151</v>
      </c>
      <c r="D356" s="4" t="s">
        <v>628</v>
      </c>
      <c r="E356" s="4" t="s">
        <v>627</v>
      </c>
      <c r="H356" s="3">
        <v>33.859000000000002</v>
      </c>
      <c r="I356" s="3">
        <v>102590</v>
      </c>
    </row>
    <row r="357" spans="2:9" ht="15.75" hidden="1" thickBot="1">
      <c r="B357" s="4" t="s">
        <v>235</v>
      </c>
      <c r="C357" s="4" t="s">
        <v>234</v>
      </c>
      <c r="D357" s="4" t="s">
        <v>628</v>
      </c>
      <c r="E357" s="4" t="s">
        <v>627</v>
      </c>
      <c r="H357" s="3">
        <v>0.72099999999999997</v>
      </c>
      <c r="I357" s="3">
        <v>102590</v>
      </c>
    </row>
    <row r="358" spans="2:9" ht="15.75" hidden="1" thickBot="1">
      <c r="B358" s="4" t="s">
        <v>521</v>
      </c>
      <c r="C358" s="4" t="s">
        <v>520</v>
      </c>
      <c r="D358" s="4" t="s">
        <v>628</v>
      </c>
      <c r="E358" s="4" t="s">
        <v>627</v>
      </c>
      <c r="H358" s="3">
        <v>0.189</v>
      </c>
      <c r="I358" s="3">
        <v>102590</v>
      </c>
    </row>
    <row r="359" spans="2:9" ht="15.75" hidden="1" thickBot="1">
      <c r="B359" s="4" t="s">
        <v>288</v>
      </c>
      <c r="C359" s="4" t="s">
        <v>287</v>
      </c>
      <c r="D359" s="4" t="s">
        <v>631</v>
      </c>
      <c r="E359" s="4" t="s">
        <v>630</v>
      </c>
      <c r="H359" s="3">
        <v>0.66100000000000003</v>
      </c>
      <c r="I359" s="3">
        <v>2200</v>
      </c>
    </row>
    <row r="360" spans="2:9" ht="15.75" hidden="1" thickBot="1">
      <c r="B360" s="13" t="s">
        <v>16</v>
      </c>
      <c r="C360" s="13" t="s">
        <v>15</v>
      </c>
      <c r="D360" s="13" t="s">
        <v>634</v>
      </c>
      <c r="E360" s="13" t="s">
        <v>633</v>
      </c>
      <c r="F360" s="15"/>
      <c r="G360" s="15"/>
      <c r="H360" s="14">
        <v>1.2929999999999999</v>
      </c>
      <c r="I360" s="3">
        <v>107200</v>
      </c>
    </row>
    <row r="361" spans="2:9" ht="15.75" hidden="1" thickBot="1">
      <c r="B361" s="4" t="s">
        <v>152</v>
      </c>
      <c r="C361" s="4" t="s">
        <v>151</v>
      </c>
      <c r="D361" s="4" t="s">
        <v>634</v>
      </c>
      <c r="E361" s="4" t="s">
        <v>633</v>
      </c>
      <c r="H361" s="3">
        <v>28.782</v>
      </c>
      <c r="I361" s="3">
        <v>87200</v>
      </c>
    </row>
    <row r="362" spans="2:9" ht="15.75" hidden="1" thickBot="1">
      <c r="B362" s="4" t="s">
        <v>235</v>
      </c>
      <c r="C362" s="4" t="s">
        <v>234</v>
      </c>
      <c r="D362" s="4" t="s">
        <v>634</v>
      </c>
      <c r="E362" s="4" t="s">
        <v>633</v>
      </c>
      <c r="H362" s="3">
        <v>0.75600000000000001</v>
      </c>
      <c r="I362" s="3">
        <v>107200</v>
      </c>
    </row>
    <row r="363" spans="2:9" ht="15.75" hidden="1" thickBot="1">
      <c r="B363" s="4" t="s">
        <v>521</v>
      </c>
      <c r="C363" s="4" t="s">
        <v>520</v>
      </c>
      <c r="D363" s="4" t="s">
        <v>634</v>
      </c>
      <c r="E363" s="4" t="s">
        <v>633</v>
      </c>
      <c r="H363" s="3">
        <v>0.2</v>
      </c>
      <c r="I363" s="3">
        <v>107200</v>
      </c>
    </row>
    <row r="364" spans="2:9" ht="15.75" hidden="1" thickBot="1">
      <c r="B364" s="4" t="s">
        <v>81</v>
      </c>
      <c r="C364" s="4" t="s">
        <v>80</v>
      </c>
      <c r="D364" s="4" t="s">
        <v>638</v>
      </c>
      <c r="E364" s="4" t="s">
        <v>637</v>
      </c>
      <c r="H364" s="3">
        <v>8.1189999999999998</v>
      </c>
      <c r="I364" s="3">
        <v>258310</v>
      </c>
    </row>
    <row r="365" spans="2:9" ht="15.75" hidden="1" thickBot="1">
      <c r="B365" s="4" t="s">
        <v>81</v>
      </c>
      <c r="C365" s="4" t="s">
        <v>80</v>
      </c>
      <c r="D365" s="4" t="s">
        <v>641</v>
      </c>
      <c r="E365" s="4" t="s">
        <v>640</v>
      </c>
      <c r="H365" s="3">
        <v>1.135</v>
      </c>
      <c r="I365" s="3">
        <v>37700</v>
      </c>
    </row>
    <row r="366" spans="2:9" ht="15.75" hidden="1" thickBot="1">
      <c r="B366" s="4" t="s">
        <v>221</v>
      </c>
      <c r="C366" s="4" t="s">
        <v>220</v>
      </c>
      <c r="D366" s="4" t="s">
        <v>644</v>
      </c>
      <c r="E366" s="4" t="s">
        <v>643</v>
      </c>
      <c r="H366" s="3">
        <v>1.78</v>
      </c>
      <c r="I366" s="3">
        <v>8720</v>
      </c>
    </row>
    <row r="367" spans="2:9" ht="15.75" hidden="1" thickBot="1">
      <c r="B367" s="4" t="s">
        <v>523</v>
      </c>
      <c r="C367" s="4" t="s">
        <v>522</v>
      </c>
      <c r="D367" s="4" t="s">
        <v>644</v>
      </c>
      <c r="E367" s="4" t="s">
        <v>643</v>
      </c>
      <c r="H367" s="3">
        <v>0.17799999999999999</v>
      </c>
      <c r="I367" s="3">
        <v>8720</v>
      </c>
    </row>
    <row r="369" spans="6:8">
      <c r="F369">
        <f>F34+F35+F36+F37</f>
        <v>3.212999999</v>
      </c>
      <c r="H369">
        <f>H318+H337+H341+H343</f>
        <v>3.2130000000000001</v>
      </c>
    </row>
    <row r="370" spans="6:8">
      <c r="H370" s="16">
        <f>H369-F369</f>
        <v>1.000000082740371E-9</v>
      </c>
    </row>
  </sheetData>
  <autoFilter ref="B3:I367">
    <filterColumn colId="0">
      <filters>
        <filter val="РД-073081  "/>
      </filters>
    </filterColumn>
    <filterColumn colId="3"/>
  </autoFilter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3:C24"/>
  <sheetViews>
    <sheetView workbookViewId="0">
      <selection activeCell="H28" sqref="H28"/>
    </sheetView>
  </sheetViews>
  <sheetFormatPr defaultRowHeight="15"/>
  <cols>
    <col min="1" max="1" width="17.28515625" customWidth="1"/>
    <col min="2" max="2" width="38.28515625" customWidth="1"/>
    <col min="3" max="3" width="40" customWidth="1"/>
  </cols>
  <sheetData>
    <row r="3" spans="1:3">
      <c r="B3" s="6" t="s">
        <v>654</v>
      </c>
    </row>
    <row r="4" spans="1:3">
      <c r="A4" s="6" t="s">
        <v>651</v>
      </c>
      <c r="B4" t="s">
        <v>655</v>
      </c>
      <c r="C4" t="s">
        <v>656</v>
      </c>
    </row>
    <row r="5" spans="1:3">
      <c r="A5" s="7" t="s">
        <v>235</v>
      </c>
      <c r="B5" s="8">
        <v>14.422000000000001</v>
      </c>
      <c r="C5" s="8">
        <v>14.421999998999999</v>
      </c>
    </row>
    <row r="6" spans="1:3">
      <c r="A6" s="7" t="s">
        <v>152</v>
      </c>
      <c r="B6" s="8">
        <v>497.928</v>
      </c>
      <c r="C6" s="8">
        <v>497.92800000099999</v>
      </c>
    </row>
    <row r="7" spans="1:3">
      <c r="A7" s="7" t="s">
        <v>221</v>
      </c>
      <c r="B7" s="8">
        <v>1.78</v>
      </c>
      <c r="C7" s="8">
        <v>1.78</v>
      </c>
    </row>
    <row r="8" spans="1:3">
      <c r="A8" s="7" t="s">
        <v>16</v>
      </c>
      <c r="B8" s="8">
        <v>8.4019999999999992</v>
      </c>
      <c r="C8" s="8">
        <v>8.4019999990000009</v>
      </c>
    </row>
    <row r="9" spans="1:3">
      <c r="A9" s="7" t="s">
        <v>507</v>
      </c>
      <c r="B9" s="8">
        <v>250.35799999999998</v>
      </c>
      <c r="C9" s="8">
        <v>250.358000003</v>
      </c>
    </row>
    <row r="10" spans="1:3">
      <c r="A10" s="7" t="s">
        <v>294</v>
      </c>
      <c r="B10" s="8">
        <v>3.8049999999999997</v>
      </c>
      <c r="C10" s="8">
        <v>3.8050000000000002</v>
      </c>
    </row>
    <row r="11" spans="1:3">
      <c r="A11" s="7" t="s">
        <v>296</v>
      </c>
      <c r="B11" s="8">
        <v>3.5129999999999999</v>
      </c>
      <c r="C11" s="8">
        <v>3.5129999999999999</v>
      </c>
    </row>
    <row r="12" spans="1:3">
      <c r="A12" s="7" t="s">
        <v>298</v>
      </c>
      <c r="B12" s="8">
        <v>7.6589999999999998</v>
      </c>
      <c r="C12" s="8">
        <v>7.6589999959999986</v>
      </c>
    </row>
    <row r="13" spans="1:3">
      <c r="A13" s="7" t="s">
        <v>442</v>
      </c>
      <c r="B13" s="8">
        <v>2.2109999999999999</v>
      </c>
      <c r="C13" s="8">
        <v>2.2109999999999999</v>
      </c>
    </row>
    <row r="14" spans="1:3">
      <c r="A14" s="7" t="s">
        <v>521</v>
      </c>
      <c r="B14" s="8">
        <v>10.444999999999999</v>
      </c>
      <c r="C14" s="8">
        <v>10.445000003000002</v>
      </c>
    </row>
    <row r="15" spans="1:3">
      <c r="A15" s="7" t="s">
        <v>523</v>
      </c>
      <c r="B15" s="8">
        <v>2.59</v>
      </c>
      <c r="C15" s="8">
        <v>2.5900000010000004</v>
      </c>
    </row>
    <row r="16" spans="1:3">
      <c r="A16" s="7" t="s">
        <v>525</v>
      </c>
      <c r="B16" s="8">
        <v>3.1649999999999996</v>
      </c>
      <c r="C16" s="8">
        <v>3.1650000010000001</v>
      </c>
    </row>
    <row r="17" spans="1:3">
      <c r="A17" s="7" t="s">
        <v>62</v>
      </c>
      <c r="B17" s="8">
        <v>1.9140000000000001</v>
      </c>
      <c r="C17" s="8">
        <v>1.9139999990000001</v>
      </c>
    </row>
    <row r="18" spans="1:3">
      <c r="A18" s="7" t="s">
        <v>81</v>
      </c>
      <c r="B18" s="8">
        <v>9.2539999999999996</v>
      </c>
      <c r="C18" s="8">
        <v>9.2540000009999996</v>
      </c>
    </row>
    <row r="19" spans="1:3">
      <c r="A19" s="7" t="s">
        <v>288</v>
      </c>
      <c r="B19" s="8">
        <v>0.66100000000000003</v>
      </c>
      <c r="C19" s="8">
        <v>0.66100000000000003</v>
      </c>
    </row>
    <row r="20" spans="1:3">
      <c r="A20" s="7" t="s">
        <v>116</v>
      </c>
      <c r="B20" s="8">
        <v>2.1190000000000002</v>
      </c>
      <c r="C20" s="8">
        <v>2.1189999999999998</v>
      </c>
    </row>
    <row r="21" spans="1:3">
      <c r="A21" s="7" t="s">
        <v>127</v>
      </c>
      <c r="B21" s="8">
        <v>6.3</v>
      </c>
      <c r="C21" s="8">
        <v>6.2999999989999997</v>
      </c>
    </row>
    <row r="22" spans="1:3">
      <c r="A22" s="7" t="s">
        <v>150</v>
      </c>
      <c r="B22" s="8">
        <v>3.2130000000000001</v>
      </c>
      <c r="C22" s="8">
        <v>3.212999999</v>
      </c>
    </row>
    <row r="23" spans="1:3">
      <c r="A23" s="7" t="s">
        <v>652</v>
      </c>
      <c r="B23" s="8"/>
      <c r="C23" s="8"/>
    </row>
    <row r="24" spans="1:3">
      <c r="A24" s="7" t="s">
        <v>653</v>
      </c>
      <c r="B24" s="8">
        <v>829.73899999999992</v>
      </c>
      <c r="C24" s="8">
        <v>829.73900000100002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E22"/>
  <sheetViews>
    <sheetView workbookViewId="0">
      <selection activeCell="I28" sqref="I28"/>
    </sheetView>
  </sheetViews>
  <sheetFormatPr defaultRowHeight="15"/>
  <cols>
    <col min="2" max="2" width="15" bestFit="1" customWidth="1"/>
    <col min="3" max="3" width="38.28515625" bestFit="1" customWidth="1"/>
    <col min="4" max="4" width="40" bestFit="1" customWidth="1"/>
    <col min="5" max="5" width="29.7109375" customWidth="1"/>
  </cols>
  <sheetData>
    <row r="2" spans="2:5">
      <c r="B2" s="9" t="s">
        <v>663</v>
      </c>
      <c r="C2" s="9" t="s">
        <v>655</v>
      </c>
      <c r="D2" s="9" t="s">
        <v>656</v>
      </c>
    </row>
    <row r="3" spans="2:5">
      <c r="B3" s="7" t="s">
        <v>235</v>
      </c>
      <c r="C3" s="8">
        <v>14.422000000000001</v>
      </c>
      <c r="D3" s="8">
        <v>14.421999998999999</v>
      </c>
      <c r="E3" s="10">
        <f>D3-C3</f>
        <v>-1.0000018590972104E-9</v>
      </c>
    </row>
    <row r="4" spans="2:5">
      <c r="B4" s="7" t="s">
        <v>152</v>
      </c>
      <c r="C4" s="8">
        <v>497.928</v>
      </c>
      <c r="D4" s="8">
        <v>497.92800000099999</v>
      </c>
      <c r="E4" s="10">
        <f t="shared" ref="E4:E20" si="0">D4-C4</f>
        <v>9.999894245993346E-10</v>
      </c>
    </row>
    <row r="5" spans="2:5">
      <c r="B5" s="7" t="s">
        <v>221</v>
      </c>
      <c r="C5" s="8">
        <v>1.78</v>
      </c>
      <c r="D5" s="8">
        <v>1.78</v>
      </c>
      <c r="E5" s="10">
        <f t="shared" si="0"/>
        <v>0</v>
      </c>
    </row>
    <row r="6" spans="2:5">
      <c r="B6" s="7" t="s">
        <v>16</v>
      </c>
      <c r="C6" s="8">
        <v>8.4019999999999992</v>
      </c>
      <c r="D6" s="8">
        <v>8.4019999990000009</v>
      </c>
      <c r="E6" s="10">
        <f t="shared" si="0"/>
        <v>-9.999983063835316E-10</v>
      </c>
    </row>
    <row r="7" spans="2:5">
      <c r="B7" s="7" t="s">
        <v>507</v>
      </c>
      <c r="C7" s="8">
        <v>250.35799999999998</v>
      </c>
      <c r="D7" s="8">
        <v>250.358000003</v>
      </c>
      <c r="E7" s="10">
        <f t="shared" si="0"/>
        <v>3.0000251172168646E-9</v>
      </c>
    </row>
    <row r="8" spans="2:5">
      <c r="B8" s="7" t="s">
        <v>294</v>
      </c>
      <c r="C8" s="8">
        <v>3.8049999999999997</v>
      </c>
      <c r="D8" s="8">
        <v>3.8050000000000002</v>
      </c>
      <c r="E8" s="10">
        <f t="shared" si="0"/>
        <v>0</v>
      </c>
    </row>
    <row r="9" spans="2:5">
      <c r="B9" s="7" t="s">
        <v>296</v>
      </c>
      <c r="C9" s="8">
        <v>3.5129999999999999</v>
      </c>
      <c r="D9" s="8">
        <v>3.5129999999999999</v>
      </c>
      <c r="E9" s="10">
        <f t="shared" si="0"/>
        <v>0</v>
      </c>
    </row>
    <row r="10" spans="2:5">
      <c r="B10" s="7" t="s">
        <v>298</v>
      </c>
      <c r="C10" s="8">
        <v>7.6589999999999998</v>
      </c>
      <c r="D10" s="8">
        <v>7.6589999959999986</v>
      </c>
      <c r="E10" s="10">
        <f t="shared" si="0"/>
        <v>-4.0000012191399037E-9</v>
      </c>
    </row>
    <row r="11" spans="2:5">
      <c r="B11" s="7" t="s">
        <v>442</v>
      </c>
      <c r="C11" s="8">
        <v>2.2109999999999999</v>
      </c>
      <c r="D11" s="8">
        <v>2.2109999999999999</v>
      </c>
      <c r="E11" s="10">
        <f t="shared" si="0"/>
        <v>0</v>
      </c>
    </row>
    <row r="12" spans="2:5">
      <c r="B12" s="7" t="s">
        <v>521</v>
      </c>
      <c r="C12" s="8">
        <v>10.444999999999999</v>
      </c>
      <c r="D12" s="8">
        <v>10.445000003000002</v>
      </c>
      <c r="E12" s="10">
        <f t="shared" si="0"/>
        <v>3.0000038009347918E-9</v>
      </c>
    </row>
    <row r="13" spans="2:5">
      <c r="B13" s="7" t="s">
        <v>523</v>
      </c>
      <c r="C13" s="8">
        <v>2.59</v>
      </c>
      <c r="D13" s="8">
        <v>2.5900000010000004</v>
      </c>
      <c r="E13" s="10">
        <f t="shared" si="0"/>
        <v>1.0000005268295808E-9</v>
      </c>
    </row>
    <row r="14" spans="2:5">
      <c r="B14" s="7" t="s">
        <v>525</v>
      </c>
      <c r="C14" s="8">
        <v>3.1649999999999996</v>
      </c>
      <c r="D14" s="8">
        <v>3.1650000010000001</v>
      </c>
      <c r="E14" s="10">
        <f t="shared" si="0"/>
        <v>1.0000005268295808E-9</v>
      </c>
    </row>
    <row r="15" spans="2:5">
      <c r="B15" s="7" t="s">
        <v>62</v>
      </c>
      <c r="C15" s="8">
        <v>1.9140000000000001</v>
      </c>
      <c r="D15" s="8">
        <v>1.9139999990000001</v>
      </c>
      <c r="E15" s="10">
        <f t="shared" si="0"/>
        <v>-1.000000082740371E-9</v>
      </c>
    </row>
    <row r="16" spans="2:5">
      <c r="B16" s="7" t="s">
        <v>81</v>
      </c>
      <c r="C16" s="8">
        <v>9.2539999999999996</v>
      </c>
      <c r="D16" s="8">
        <v>9.2540000009999996</v>
      </c>
      <c r="E16" s="10">
        <f t="shared" si="0"/>
        <v>1.000000082740371E-9</v>
      </c>
    </row>
    <row r="17" spans="2:5">
      <c r="B17" s="7" t="s">
        <v>288</v>
      </c>
      <c r="C17" s="8">
        <v>0.66100000000000003</v>
      </c>
      <c r="D17" s="8">
        <v>0.66100000000000003</v>
      </c>
      <c r="E17" s="10">
        <f t="shared" si="0"/>
        <v>0</v>
      </c>
    </row>
    <row r="18" spans="2:5">
      <c r="B18" s="7" t="s">
        <v>116</v>
      </c>
      <c r="C18" s="8">
        <v>2.1190000000000002</v>
      </c>
      <c r="D18" s="8">
        <v>2.1189999999999998</v>
      </c>
      <c r="E18" s="10">
        <f t="shared" si="0"/>
        <v>0</v>
      </c>
    </row>
    <row r="19" spans="2:5">
      <c r="B19" s="7" t="s">
        <v>127</v>
      </c>
      <c r="C19" s="8">
        <v>6.3</v>
      </c>
      <c r="D19" s="8">
        <v>6.2999999989999997</v>
      </c>
      <c r="E19" s="10">
        <f t="shared" si="0"/>
        <v>-1.000000082740371E-9</v>
      </c>
    </row>
    <row r="20" spans="2:5">
      <c r="B20" s="7" t="s">
        <v>150</v>
      </c>
      <c r="C20" s="8">
        <v>3.2130000000000001</v>
      </c>
      <c r="D20" s="8">
        <v>3.212999999</v>
      </c>
      <c r="E20" s="10">
        <f t="shared" si="0"/>
        <v>-1.000000082740371E-9</v>
      </c>
    </row>
    <row r="22" spans="2:5">
      <c r="C22">
        <f>SUM(C3:C21)</f>
        <v>829.73899999999992</v>
      </c>
      <c r="D22">
        <f>SUM(D3:D21)</f>
        <v>829.73900000100002</v>
      </c>
      <c r="E22" s="10">
        <f>SUM(E3:E20)</f>
        <v>1.000017846308765E-9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C157"/>
  <sheetViews>
    <sheetView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B60" sqref="A60:B67"/>
    </sheetView>
  </sheetViews>
  <sheetFormatPr defaultRowHeight="15"/>
  <cols>
    <col min="1" max="1" width="73.140625" customWidth="1"/>
    <col min="2" max="2" width="38.28515625" bestFit="1" customWidth="1"/>
    <col min="3" max="3" width="40" bestFit="1" customWidth="1"/>
    <col min="4" max="4" width="39" customWidth="1"/>
    <col min="5" max="5" width="40.7109375" customWidth="1"/>
  </cols>
  <sheetData>
    <row r="3" spans="1:3">
      <c r="B3" s="6" t="s">
        <v>654</v>
      </c>
    </row>
    <row r="4" spans="1:3">
      <c r="A4" s="6" t="s">
        <v>651</v>
      </c>
      <c r="B4" t="s">
        <v>655</v>
      </c>
      <c r="C4" t="s">
        <v>656</v>
      </c>
    </row>
    <row r="5" spans="1:3">
      <c r="A5" s="7" t="s">
        <v>613</v>
      </c>
      <c r="B5" s="8">
        <v>2.827</v>
      </c>
      <c r="C5" s="8"/>
    </row>
    <row r="6" spans="1:3">
      <c r="A6" s="7" t="s">
        <v>118</v>
      </c>
      <c r="B6" s="8"/>
      <c r="C6" s="8">
        <v>1.256652968</v>
      </c>
    </row>
    <row r="7" spans="1:3">
      <c r="A7" s="7" t="s">
        <v>122</v>
      </c>
      <c r="B7" s="8"/>
      <c r="C7" s="8">
        <v>1.3770074919999999</v>
      </c>
    </row>
    <row r="8" spans="1:3">
      <c r="A8" s="7" t="s">
        <v>98</v>
      </c>
      <c r="B8" s="8"/>
      <c r="C8" s="8">
        <v>1.331711742</v>
      </c>
    </row>
    <row r="9" spans="1:3">
      <c r="A9" s="7" t="s">
        <v>141</v>
      </c>
      <c r="B9" s="8"/>
      <c r="C9" s="8">
        <v>1.1215568599999999</v>
      </c>
    </row>
    <row r="10" spans="1:3">
      <c r="A10" s="7" t="s">
        <v>133</v>
      </c>
      <c r="B10" s="8"/>
      <c r="C10" s="8">
        <v>1.704886063</v>
      </c>
    </row>
    <row r="11" spans="1:3">
      <c r="A11" s="7" t="s">
        <v>76</v>
      </c>
      <c r="B11" s="8"/>
      <c r="C11" s="8">
        <v>13.554489059</v>
      </c>
    </row>
    <row r="12" spans="1:3">
      <c r="A12" s="7" t="s">
        <v>72</v>
      </c>
      <c r="B12" s="8"/>
      <c r="C12" s="8">
        <v>14.114183185</v>
      </c>
    </row>
    <row r="13" spans="1:3">
      <c r="A13" s="7" t="s">
        <v>63</v>
      </c>
      <c r="B13" s="8"/>
      <c r="C13" s="8">
        <v>8.3503794490000001</v>
      </c>
    </row>
    <row r="14" spans="1:3">
      <c r="A14" s="7" t="s">
        <v>145</v>
      </c>
      <c r="B14" s="8"/>
      <c r="C14" s="8">
        <v>1.646977001</v>
      </c>
    </row>
    <row r="15" spans="1:3">
      <c r="A15" s="7" t="s">
        <v>137</v>
      </c>
      <c r="B15" s="8"/>
      <c r="C15" s="8">
        <v>0.33093271400000002</v>
      </c>
    </row>
    <row r="16" spans="1:3">
      <c r="A16" s="7" t="s">
        <v>508</v>
      </c>
      <c r="B16" s="8"/>
      <c r="C16" s="8">
        <v>4.0971327720000001</v>
      </c>
    </row>
    <row r="17" spans="1:3">
      <c r="A17" s="7" t="s">
        <v>512</v>
      </c>
      <c r="B17" s="8"/>
      <c r="C17" s="8">
        <v>5.0162541540000003</v>
      </c>
    </row>
    <row r="18" spans="1:3">
      <c r="A18" s="7" t="s">
        <v>516</v>
      </c>
      <c r="B18" s="8"/>
      <c r="C18" s="8">
        <v>4.5707787</v>
      </c>
    </row>
    <row r="19" spans="1:3">
      <c r="A19" s="7" t="s">
        <v>345</v>
      </c>
      <c r="B19" s="8"/>
      <c r="C19" s="8">
        <v>4.932323319</v>
      </c>
    </row>
    <row r="20" spans="1:3">
      <c r="A20" s="7" t="s">
        <v>401</v>
      </c>
      <c r="B20" s="8"/>
      <c r="C20" s="8">
        <v>6.1453339380000003</v>
      </c>
    </row>
    <row r="21" spans="1:3">
      <c r="A21" s="7" t="s">
        <v>349</v>
      </c>
      <c r="B21" s="8"/>
      <c r="C21" s="8">
        <v>32.495597681</v>
      </c>
    </row>
    <row r="22" spans="1:3">
      <c r="A22" s="7" t="s">
        <v>369</v>
      </c>
      <c r="B22" s="8"/>
      <c r="C22" s="8">
        <v>8.7360958699999998</v>
      </c>
    </row>
    <row r="23" spans="1:3">
      <c r="A23" s="7" t="s">
        <v>365</v>
      </c>
      <c r="B23" s="8"/>
      <c r="C23" s="8">
        <v>4.2812786350000005</v>
      </c>
    </row>
    <row r="24" spans="1:3">
      <c r="A24" s="7" t="s">
        <v>357</v>
      </c>
      <c r="B24" s="8"/>
      <c r="C24" s="8">
        <v>20.275862883999999</v>
      </c>
    </row>
    <row r="25" spans="1:3">
      <c r="A25" s="7" t="s">
        <v>361</v>
      </c>
      <c r="B25" s="8"/>
      <c r="C25" s="8">
        <v>10.053801512</v>
      </c>
    </row>
    <row r="26" spans="1:3">
      <c r="A26" s="7" t="s">
        <v>353</v>
      </c>
      <c r="B26" s="8"/>
      <c r="C26" s="8">
        <v>9.0871321250000001</v>
      </c>
    </row>
    <row r="27" spans="1:3">
      <c r="A27" s="7" t="s">
        <v>315</v>
      </c>
      <c r="B27" s="8"/>
      <c r="C27" s="8">
        <v>3.6134079670000001</v>
      </c>
    </row>
    <row r="28" spans="1:3">
      <c r="A28" s="7" t="s">
        <v>429</v>
      </c>
      <c r="B28" s="8"/>
      <c r="C28" s="8">
        <v>0.9981218839999999</v>
      </c>
    </row>
    <row r="29" spans="1:3">
      <c r="A29" s="7" t="s">
        <v>437</v>
      </c>
      <c r="B29" s="8"/>
      <c r="C29" s="8">
        <v>2.3886301560000001</v>
      </c>
    </row>
    <row r="30" spans="1:3">
      <c r="A30" s="7" t="s">
        <v>425</v>
      </c>
      <c r="B30" s="8"/>
      <c r="C30" s="8">
        <v>1.0284746410000001</v>
      </c>
    </row>
    <row r="31" spans="1:3">
      <c r="A31" s="7" t="s">
        <v>433</v>
      </c>
      <c r="B31" s="8"/>
      <c r="C31" s="8">
        <v>1.8748327299999998</v>
      </c>
    </row>
    <row r="32" spans="1:3">
      <c r="A32" s="7" t="s">
        <v>222</v>
      </c>
      <c r="B32" s="8"/>
      <c r="C32" s="8">
        <v>0.7416252430000001</v>
      </c>
    </row>
    <row r="33" spans="1:3">
      <c r="A33" s="7" t="s">
        <v>226</v>
      </c>
      <c r="B33" s="8"/>
      <c r="C33" s="8">
        <v>0.75013569700000005</v>
      </c>
    </row>
    <row r="34" spans="1:3">
      <c r="A34" s="7" t="s">
        <v>128</v>
      </c>
      <c r="B34" s="8"/>
      <c r="C34" s="8">
        <v>1.5053748859999998</v>
      </c>
    </row>
    <row r="35" spans="1:3">
      <c r="A35" s="7" t="s">
        <v>498</v>
      </c>
      <c r="B35" s="8"/>
      <c r="C35" s="8">
        <v>8.0327345010000002</v>
      </c>
    </row>
    <row r="36" spans="1:3">
      <c r="A36" s="7" t="s">
        <v>486</v>
      </c>
      <c r="B36" s="8"/>
      <c r="C36" s="8">
        <v>2.4656198009999999</v>
      </c>
    </row>
    <row r="37" spans="1:3">
      <c r="A37" s="7" t="s">
        <v>490</v>
      </c>
      <c r="B37" s="8"/>
      <c r="C37" s="8">
        <v>3.3230172719999995</v>
      </c>
    </row>
    <row r="38" spans="1:3">
      <c r="A38" s="7" t="s">
        <v>482</v>
      </c>
      <c r="B38" s="8"/>
      <c r="C38" s="8">
        <v>3.3458829040000002</v>
      </c>
    </row>
    <row r="39" spans="1:3">
      <c r="A39" s="7" t="s">
        <v>494</v>
      </c>
      <c r="B39" s="8"/>
      <c r="C39" s="8">
        <v>2.3877996010000002</v>
      </c>
    </row>
    <row r="40" spans="1:3">
      <c r="A40" s="7" t="s">
        <v>289</v>
      </c>
      <c r="B40" s="8"/>
      <c r="C40" s="8">
        <v>0.66100000000000003</v>
      </c>
    </row>
    <row r="41" spans="1:3">
      <c r="A41" s="7" t="s">
        <v>417</v>
      </c>
      <c r="B41" s="8"/>
      <c r="C41" s="8">
        <v>2.3272647950000001</v>
      </c>
    </row>
    <row r="42" spans="1:3">
      <c r="A42" s="7" t="s">
        <v>68</v>
      </c>
      <c r="B42" s="8"/>
      <c r="C42" s="8">
        <v>3.2792110549999998</v>
      </c>
    </row>
    <row r="43" spans="1:3">
      <c r="A43" s="7" t="s">
        <v>413</v>
      </c>
      <c r="B43" s="8"/>
      <c r="C43" s="8">
        <v>3.6139578349999999</v>
      </c>
    </row>
    <row r="44" spans="1:3">
      <c r="A44" s="7" t="s">
        <v>409</v>
      </c>
      <c r="B44" s="8"/>
      <c r="C44" s="8">
        <v>5.0675910499999999</v>
      </c>
    </row>
    <row r="45" spans="1:3">
      <c r="A45" s="7" t="s">
        <v>405</v>
      </c>
      <c r="B45" s="8"/>
      <c r="C45" s="8">
        <v>2.7284490880000001</v>
      </c>
    </row>
    <row r="46" spans="1:3">
      <c r="A46" s="7" t="s">
        <v>324</v>
      </c>
      <c r="B46" s="8"/>
      <c r="C46" s="8">
        <v>2.013729594</v>
      </c>
    </row>
    <row r="47" spans="1:3">
      <c r="A47" s="7" t="s">
        <v>328</v>
      </c>
      <c r="B47" s="8"/>
      <c r="C47" s="8">
        <v>0.92171830399999999</v>
      </c>
    </row>
    <row r="48" spans="1:3">
      <c r="A48" s="7" t="s">
        <v>332</v>
      </c>
      <c r="B48" s="8"/>
      <c r="C48" s="8">
        <v>1.235239585</v>
      </c>
    </row>
    <row r="49" spans="1:3">
      <c r="A49" s="7" t="s">
        <v>336</v>
      </c>
      <c r="B49" s="8"/>
      <c r="C49" s="8">
        <v>1.1745912059999999</v>
      </c>
    </row>
    <row r="50" spans="1:3">
      <c r="A50" s="7" t="s">
        <v>443</v>
      </c>
      <c r="B50" s="8"/>
      <c r="C50" s="8">
        <v>4.1436178860000004</v>
      </c>
    </row>
    <row r="51" spans="1:3">
      <c r="A51" s="7" t="s">
        <v>447</v>
      </c>
      <c r="B51" s="8"/>
      <c r="C51" s="8">
        <v>5.3627977619999996</v>
      </c>
    </row>
    <row r="52" spans="1:3">
      <c r="A52" s="7" t="s">
        <v>110</v>
      </c>
      <c r="B52" s="8"/>
      <c r="C52" s="8">
        <v>0.10340205199999999</v>
      </c>
    </row>
    <row r="53" spans="1:3">
      <c r="A53" s="7" t="s">
        <v>82</v>
      </c>
      <c r="B53" s="8"/>
      <c r="C53" s="8">
        <v>0.89613059900000003</v>
      </c>
    </row>
    <row r="54" spans="1:3">
      <c r="A54" s="7" t="s">
        <v>86</v>
      </c>
      <c r="B54" s="8"/>
      <c r="C54" s="8">
        <v>1.944697159</v>
      </c>
    </row>
    <row r="55" spans="1:3">
      <c r="A55" s="7" t="s">
        <v>90</v>
      </c>
      <c r="B55" s="8"/>
      <c r="C55" s="8">
        <v>1.560550331</v>
      </c>
    </row>
    <row r="56" spans="1:3">
      <c r="A56" s="7" t="s">
        <v>94</v>
      </c>
      <c r="B56" s="8"/>
      <c r="C56" s="8">
        <v>5.9716705120000002</v>
      </c>
    </row>
    <row r="57" spans="1:3">
      <c r="A57" s="7" t="s">
        <v>466</v>
      </c>
      <c r="B57" s="8"/>
      <c r="C57" s="8">
        <v>8.8908518000000006E-2</v>
      </c>
    </row>
    <row r="58" spans="1:3">
      <c r="A58" s="7" t="s">
        <v>470</v>
      </c>
      <c r="B58" s="8"/>
      <c r="C58" s="8">
        <v>0.17044892699999997</v>
      </c>
    </row>
    <row r="59" spans="1:3">
      <c r="A59" s="7" t="s">
        <v>474</v>
      </c>
      <c r="B59" s="8"/>
      <c r="C59" s="8">
        <v>8.8417309999999999E-2</v>
      </c>
    </row>
    <row r="60" spans="1:3">
      <c r="A60" s="7" t="s">
        <v>630</v>
      </c>
      <c r="B60" s="8">
        <v>0.66100000000000003</v>
      </c>
      <c r="C60" s="8"/>
    </row>
    <row r="61" spans="1:3">
      <c r="A61" s="7" t="s">
        <v>543</v>
      </c>
      <c r="B61" s="8">
        <v>2.0390000000000001</v>
      </c>
      <c r="C61" s="8"/>
    </row>
    <row r="62" spans="1:3">
      <c r="A62" s="7" t="s">
        <v>567</v>
      </c>
      <c r="B62" s="8">
        <v>6.0440000000000005</v>
      </c>
      <c r="C62" s="8"/>
    </row>
    <row r="63" spans="1:3">
      <c r="A63" s="7" t="s">
        <v>625</v>
      </c>
      <c r="B63" s="8">
        <v>0.442</v>
      </c>
      <c r="C63" s="8"/>
    </row>
    <row r="64" spans="1:3">
      <c r="A64" s="7" t="s">
        <v>564</v>
      </c>
      <c r="B64" s="8">
        <v>43.021000000000001</v>
      </c>
      <c r="C64" s="8"/>
    </row>
    <row r="65" spans="1:3">
      <c r="A65" s="7" t="s">
        <v>622</v>
      </c>
      <c r="B65" s="8">
        <v>13.372</v>
      </c>
      <c r="C65" s="8"/>
    </row>
    <row r="66" spans="1:3">
      <c r="A66" s="7" t="s">
        <v>637</v>
      </c>
      <c r="B66" s="8">
        <v>8.1189999999999998</v>
      </c>
      <c r="C66" s="8"/>
    </row>
    <row r="67" spans="1:3">
      <c r="A67" s="7" t="s">
        <v>640</v>
      </c>
      <c r="B67" s="8">
        <v>1.135</v>
      </c>
      <c r="C67" s="8"/>
    </row>
    <row r="68" spans="1:3">
      <c r="A68" s="7" t="s">
        <v>106</v>
      </c>
      <c r="B68" s="8"/>
      <c r="C68" s="8">
        <v>0.113965789</v>
      </c>
    </row>
    <row r="69" spans="1:3">
      <c r="A69" s="7" t="s">
        <v>102</v>
      </c>
      <c r="B69" s="8"/>
      <c r="C69" s="8">
        <v>0.15119537399999999</v>
      </c>
    </row>
    <row r="70" spans="1:3">
      <c r="A70" s="7" t="s">
        <v>299</v>
      </c>
      <c r="B70" s="8"/>
      <c r="C70" s="8">
        <v>0.20844311000000001</v>
      </c>
    </row>
    <row r="71" spans="1:3">
      <c r="A71" s="7" t="s">
        <v>377</v>
      </c>
      <c r="B71" s="8"/>
      <c r="C71" s="8">
        <v>1.1063360659999999</v>
      </c>
    </row>
    <row r="72" spans="1:3">
      <c r="A72" s="7" t="s">
        <v>311</v>
      </c>
      <c r="B72" s="8"/>
      <c r="C72" s="8">
        <v>0.84062536700000001</v>
      </c>
    </row>
    <row r="73" spans="1:3">
      <c r="A73" s="7" t="s">
        <v>303</v>
      </c>
      <c r="B73" s="8"/>
      <c r="C73" s="8">
        <v>0.27240373699999998</v>
      </c>
    </row>
    <row r="74" spans="1:3">
      <c r="A74" s="7" t="s">
        <v>385</v>
      </c>
      <c r="B74" s="8"/>
      <c r="C74" s="8">
        <v>1.4494542109999999</v>
      </c>
    </row>
    <row r="75" spans="1:3">
      <c r="A75" s="7" t="s">
        <v>381</v>
      </c>
      <c r="B75" s="8"/>
      <c r="C75" s="8">
        <v>1.119532918</v>
      </c>
    </row>
    <row r="76" spans="1:3">
      <c r="A76" s="7" t="s">
        <v>320</v>
      </c>
      <c r="B76" s="8"/>
      <c r="C76" s="8">
        <v>0.53110162399999994</v>
      </c>
    </row>
    <row r="77" spans="1:3">
      <c r="A77" s="7" t="s">
        <v>307</v>
      </c>
      <c r="B77" s="8"/>
      <c r="C77" s="8">
        <v>0.53053054700000002</v>
      </c>
    </row>
    <row r="78" spans="1:3">
      <c r="A78" s="7" t="s">
        <v>389</v>
      </c>
      <c r="B78" s="8"/>
      <c r="C78" s="8">
        <v>0.69349455799999993</v>
      </c>
    </row>
    <row r="79" spans="1:3">
      <c r="A79" s="7" t="s">
        <v>393</v>
      </c>
      <c r="B79" s="8"/>
      <c r="C79" s="8">
        <v>1.167921373</v>
      </c>
    </row>
    <row r="80" spans="1:3">
      <c r="A80" s="7" t="s">
        <v>397</v>
      </c>
      <c r="B80" s="8"/>
      <c r="C80" s="8">
        <v>1.685897803</v>
      </c>
    </row>
    <row r="81" spans="1:3">
      <c r="A81" s="7" t="s">
        <v>373</v>
      </c>
      <c r="B81" s="8"/>
      <c r="C81" s="8">
        <v>1.8849503169999999</v>
      </c>
    </row>
    <row r="82" spans="1:3">
      <c r="A82" s="7" t="s">
        <v>341</v>
      </c>
      <c r="B82" s="8"/>
      <c r="C82" s="8">
        <v>7.1270412000000005E-2</v>
      </c>
    </row>
    <row r="83" spans="1:3">
      <c r="A83" s="7" t="s">
        <v>421</v>
      </c>
      <c r="B83" s="8"/>
      <c r="C83" s="8">
        <v>0.79906937</v>
      </c>
    </row>
    <row r="84" spans="1:3">
      <c r="A84" s="7" t="s">
        <v>595</v>
      </c>
      <c r="B84" s="8">
        <v>16.751999999999999</v>
      </c>
      <c r="C84" s="8"/>
    </row>
    <row r="85" spans="1:3">
      <c r="A85" s="7" t="s">
        <v>598</v>
      </c>
      <c r="B85" s="8">
        <v>103.06099999999999</v>
      </c>
      <c r="C85" s="8"/>
    </row>
    <row r="86" spans="1:3">
      <c r="A86" s="7" t="s">
        <v>601</v>
      </c>
      <c r="B86" s="8">
        <v>15.087999999999999</v>
      </c>
      <c r="C86" s="8"/>
    </row>
    <row r="87" spans="1:3">
      <c r="A87" s="7" t="s">
        <v>230</v>
      </c>
      <c r="B87" s="8"/>
      <c r="C87" s="8">
        <v>0.51397060999999999</v>
      </c>
    </row>
    <row r="88" spans="1:3">
      <c r="A88" s="7" t="s">
        <v>462</v>
      </c>
      <c r="B88" s="8"/>
      <c r="C88" s="8">
        <v>0.15964236800000001</v>
      </c>
    </row>
    <row r="89" spans="1:3">
      <c r="A89" s="7" t="s">
        <v>502</v>
      </c>
      <c r="B89" s="8"/>
      <c r="C89" s="8">
        <v>5.3645685390000004</v>
      </c>
    </row>
    <row r="90" spans="1:3">
      <c r="A90" s="7" t="s">
        <v>478</v>
      </c>
      <c r="B90" s="8"/>
      <c r="C90" s="8">
        <v>1.2554644150000003</v>
      </c>
    </row>
    <row r="91" spans="1:3">
      <c r="A91" s="7" t="s">
        <v>458</v>
      </c>
      <c r="B91" s="8"/>
      <c r="C91" s="8">
        <v>0.81957935100000001</v>
      </c>
    </row>
    <row r="92" spans="1:3">
      <c r="A92" s="7" t="s">
        <v>455</v>
      </c>
      <c r="B92" s="8"/>
      <c r="C92" s="8">
        <v>1.3100498250000001</v>
      </c>
    </row>
    <row r="93" spans="1:3">
      <c r="A93" s="7" t="s">
        <v>451</v>
      </c>
      <c r="B93" s="8"/>
      <c r="C93" s="8">
        <v>0.82866668600000004</v>
      </c>
    </row>
    <row r="94" spans="1:3">
      <c r="A94" s="7" t="s">
        <v>643</v>
      </c>
      <c r="B94" s="8">
        <v>1.958</v>
      </c>
      <c r="C94" s="8"/>
    </row>
    <row r="95" spans="1:3">
      <c r="A95" s="7" t="s">
        <v>571</v>
      </c>
      <c r="B95" s="8">
        <v>0.89300000000000013</v>
      </c>
      <c r="C95" s="8"/>
    </row>
    <row r="96" spans="1:3">
      <c r="A96" s="7" t="s">
        <v>561</v>
      </c>
      <c r="B96" s="8">
        <v>1.304</v>
      </c>
      <c r="C96" s="8"/>
    </row>
    <row r="97" spans="1:3">
      <c r="A97" s="7" t="s">
        <v>557</v>
      </c>
      <c r="B97" s="8">
        <v>35.344999999999999</v>
      </c>
      <c r="C97" s="8"/>
    </row>
    <row r="98" spans="1:3">
      <c r="A98" s="7" t="s">
        <v>19</v>
      </c>
      <c r="B98" s="8"/>
      <c r="C98" s="8">
        <v>11.695489549000001</v>
      </c>
    </row>
    <row r="99" spans="1:3">
      <c r="A99" s="7" t="s">
        <v>216</v>
      </c>
      <c r="B99" s="8"/>
      <c r="C99" s="8">
        <v>114.61387935500001</v>
      </c>
    </row>
    <row r="100" spans="1:3">
      <c r="A100" s="7" t="s">
        <v>212</v>
      </c>
      <c r="B100" s="8"/>
      <c r="C100" s="8">
        <v>42.991676452999997</v>
      </c>
    </row>
    <row r="101" spans="1:3">
      <c r="A101" s="7" t="s">
        <v>57</v>
      </c>
      <c r="B101" s="8"/>
      <c r="C101" s="8">
        <v>71.507783864000004</v>
      </c>
    </row>
    <row r="102" spans="1:3">
      <c r="A102" s="7" t="s">
        <v>165</v>
      </c>
      <c r="B102" s="8"/>
      <c r="C102" s="8">
        <v>33.432532045999999</v>
      </c>
    </row>
    <row r="103" spans="1:3">
      <c r="A103" s="7" t="s">
        <v>49</v>
      </c>
      <c r="B103" s="8"/>
      <c r="C103" s="8">
        <v>3.5516715820000004</v>
      </c>
    </row>
    <row r="104" spans="1:3">
      <c r="A104" s="7" t="s">
        <v>53</v>
      </c>
      <c r="B104" s="8"/>
      <c r="C104" s="8">
        <v>11.833839727999999</v>
      </c>
    </row>
    <row r="105" spans="1:3">
      <c r="A105" s="7" t="s">
        <v>161</v>
      </c>
      <c r="B105" s="8"/>
      <c r="C105" s="8">
        <v>92.286453977000008</v>
      </c>
    </row>
    <row r="106" spans="1:3">
      <c r="A106" s="7" t="s">
        <v>619</v>
      </c>
      <c r="B106" s="8">
        <v>10.998999999999999</v>
      </c>
      <c r="C106" s="8"/>
    </row>
    <row r="107" spans="1:3">
      <c r="A107" s="7" t="s">
        <v>633</v>
      </c>
      <c r="B107" s="8">
        <v>31.030999999999999</v>
      </c>
      <c r="C107" s="8"/>
    </row>
    <row r="108" spans="1:3">
      <c r="A108" s="7" t="s">
        <v>547</v>
      </c>
      <c r="B108" s="8">
        <v>138.12799999999999</v>
      </c>
      <c r="C108" s="8"/>
    </row>
    <row r="109" spans="1:3">
      <c r="A109" s="7" t="s">
        <v>616</v>
      </c>
      <c r="B109" s="8">
        <v>11.813000000000001</v>
      </c>
      <c r="C109" s="8"/>
    </row>
    <row r="110" spans="1:3">
      <c r="A110" s="7" t="s">
        <v>536</v>
      </c>
      <c r="B110" s="8">
        <v>289.61600000000004</v>
      </c>
      <c r="C110" s="8"/>
    </row>
    <row r="111" spans="1:3">
      <c r="A111" s="7" t="s">
        <v>627</v>
      </c>
      <c r="B111" s="8">
        <v>36.097000000000001</v>
      </c>
      <c r="C111" s="8"/>
    </row>
    <row r="112" spans="1:3">
      <c r="A112" s="7" t="s">
        <v>174</v>
      </c>
      <c r="B112" s="8"/>
      <c r="C112" s="8">
        <v>5.0021074350000001</v>
      </c>
    </row>
    <row r="113" spans="1:3">
      <c r="A113" s="7" t="s">
        <v>208</v>
      </c>
      <c r="B113" s="8"/>
      <c r="C113" s="8">
        <v>1.311232046</v>
      </c>
    </row>
    <row r="114" spans="1:3">
      <c r="A114" s="7" t="s">
        <v>183</v>
      </c>
      <c r="B114" s="8"/>
      <c r="C114" s="8">
        <v>3.8287975759999999</v>
      </c>
    </row>
    <row r="115" spans="1:3">
      <c r="A115" s="7" t="s">
        <v>191</v>
      </c>
      <c r="B115" s="8"/>
      <c r="C115" s="8">
        <v>12.141641790000001</v>
      </c>
    </row>
    <row r="116" spans="1:3">
      <c r="A116" s="7" t="s">
        <v>179</v>
      </c>
      <c r="B116" s="8"/>
      <c r="C116" s="8">
        <v>1.7648761260000001</v>
      </c>
    </row>
    <row r="117" spans="1:3">
      <c r="A117" s="7" t="s">
        <v>169</v>
      </c>
      <c r="B117" s="8"/>
      <c r="C117" s="8">
        <v>5.6080703739999995</v>
      </c>
    </row>
    <row r="118" spans="1:3">
      <c r="A118" s="7" t="s">
        <v>204</v>
      </c>
      <c r="B118" s="8"/>
      <c r="C118" s="8">
        <v>9.8392982159999995</v>
      </c>
    </row>
    <row r="119" spans="1:3">
      <c r="A119" s="7" t="s">
        <v>196</v>
      </c>
      <c r="B119" s="8"/>
      <c r="C119" s="8">
        <v>10.677267363</v>
      </c>
    </row>
    <row r="120" spans="1:3">
      <c r="A120" s="7" t="s">
        <v>45</v>
      </c>
      <c r="B120" s="8"/>
      <c r="C120" s="8">
        <v>7.1999503679999997</v>
      </c>
    </row>
    <row r="121" spans="1:3">
      <c r="A121" s="7" t="s">
        <v>24</v>
      </c>
      <c r="B121" s="8"/>
      <c r="C121" s="8">
        <v>5.9527405119999992</v>
      </c>
    </row>
    <row r="122" spans="1:3">
      <c r="A122" s="7" t="s">
        <v>187</v>
      </c>
      <c r="B122" s="8"/>
      <c r="C122" s="8">
        <v>7.5310793999999994</v>
      </c>
    </row>
    <row r="123" spans="1:3">
      <c r="A123" s="7" t="s">
        <v>200</v>
      </c>
      <c r="B123" s="8"/>
      <c r="C123" s="8">
        <v>17.256252799000002</v>
      </c>
    </row>
    <row r="124" spans="1:3">
      <c r="A124" s="7" t="s">
        <v>157</v>
      </c>
      <c r="B124" s="8"/>
      <c r="C124" s="8">
        <v>34.868304624999993</v>
      </c>
    </row>
    <row r="125" spans="1:3">
      <c r="A125" s="7" t="s">
        <v>153</v>
      </c>
      <c r="B125" s="8"/>
      <c r="C125" s="8">
        <v>10.699385019999999</v>
      </c>
    </row>
    <row r="126" spans="1:3">
      <c r="A126" s="7" t="s">
        <v>266</v>
      </c>
      <c r="B126" s="8"/>
      <c r="C126" s="8">
        <v>4.4124608930000004</v>
      </c>
    </row>
    <row r="127" spans="1:3">
      <c r="A127" s="7" t="s">
        <v>241</v>
      </c>
      <c r="B127" s="8"/>
      <c r="C127" s="8">
        <v>0.24095455099999999</v>
      </c>
    </row>
    <row r="128" spans="1:3">
      <c r="A128" s="7" t="s">
        <v>583</v>
      </c>
      <c r="B128" s="8">
        <v>0.10300000000000001</v>
      </c>
      <c r="C128" s="8"/>
    </row>
    <row r="129" spans="1:3">
      <c r="A129" s="7" t="s">
        <v>606</v>
      </c>
      <c r="B129" s="8">
        <v>0.05</v>
      </c>
      <c r="C129" s="8"/>
    </row>
    <row r="130" spans="1:3">
      <c r="A130" s="7" t="s">
        <v>574</v>
      </c>
      <c r="B130" s="8">
        <v>0.15000000000000002</v>
      </c>
      <c r="C130" s="8"/>
    </row>
    <row r="131" spans="1:3">
      <c r="A131" s="7" t="s">
        <v>577</v>
      </c>
      <c r="B131" s="8">
        <v>3.21</v>
      </c>
      <c r="C131" s="8"/>
    </row>
    <row r="132" spans="1:3">
      <c r="A132" s="7" t="s">
        <v>41</v>
      </c>
      <c r="B132" s="8"/>
      <c r="C132" s="8">
        <v>3.9379838E-2</v>
      </c>
    </row>
    <row r="133" spans="1:3">
      <c r="A133" s="7" t="s">
        <v>29</v>
      </c>
      <c r="B133" s="8"/>
      <c r="C133" s="8">
        <v>8.6504198509999988</v>
      </c>
    </row>
    <row r="134" spans="1:3">
      <c r="A134" s="7" t="s">
        <v>611</v>
      </c>
      <c r="B134" s="8">
        <v>0.67100000000000004</v>
      </c>
      <c r="C134" s="8"/>
    </row>
    <row r="135" spans="1:3">
      <c r="A135" s="7" t="s">
        <v>609</v>
      </c>
      <c r="B135" s="8">
        <v>5.8849999999999998</v>
      </c>
      <c r="C135" s="8"/>
    </row>
    <row r="136" spans="1:3">
      <c r="A136" s="7" t="s">
        <v>604</v>
      </c>
      <c r="B136" s="8">
        <v>0.93899999999999995</v>
      </c>
      <c r="C136" s="8"/>
    </row>
    <row r="137" spans="1:3">
      <c r="A137" s="7" t="s">
        <v>581</v>
      </c>
      <c r="B137" s="8">
        <v>1.4990000000000001</v>
      </c>
      <c r="C137" s="8"/>
    </row>
    <row r="138" spans="1:3">
      <c r="A138" s="7" t="s">
        <v>33</v>
      </c>
      <c r="B138" s="8"/>
      <c r="C138" s="8">
        <v>0.910690577</v>
      </c>
    </row>
    <row r="139" spans="1:3">
      <c r="A139" s="7" t="s">
        <v>37</v>
      </c>
      <c r="B139" s="8"/>
      <c r="C139" s="8">
        <v>0.29057750699999996</v>
      </c>
    </row>
    <row r="140" spans="1:3">
      <c r="A140" s="7" t="s">
        <v>282</v>
      </c>
      <c r="B140" s="8"/>
      <c r="C140" s="8">
        <v>0.97432163000000005</v>
      </c>
    </row>
    <row r="141" spans="1:3">
      <c r="A141" s="7" t="s">
        <v>540</v>
      </c>
      <c r="B141" s="8">
        <v>0.79</v>
      </c>
      <c r="C141" s="8"/>
    </row>
    <row r="142" spans="1:3">
      <c r="A142" s="7" t="s">
        <v>586</v>
      </c>
      <c r="B142" s="8">
        <v>24.864999999999998</v>
      </c>
      <c r="C142" s="8"/>
    </row>
    <row r="143" spans="1:3">
      <c r="A143" s="7" t="s">
        <v>551</v>
      </c>
      <c r="B143" s="8">
        <v>0.51</v>
      </c>
      <c r="C143" s="8"/>
    </row>
    <row r="144" spans="1:3">
      <c r="A144" s="7" t="s">
        <v>554</v>
      </c>
      <c r="B144" s="8">
        <v>0.52600000000000002</v>
      </c>
      <c r="C144" s="8"/>
    </row>
    <row r="145" spans="1:3">
      <c r="A145" s="7" t="s">
        <v>589</v>
      </c>
      <c r="B145" s="8">
        <v>1.546</v>
      </c>
      <c r="C145" s="8"/>
    </row>
    <row r="146" spans="1:3">
      <c r="A146" s="7" t="s">
        <v>592</v>
      </c>
      <c r="B146" s="8">
        <v>19.25</v>
      </c>
      <c r="C146" s="8"/>
    </row>
    <row r="147" spans="1:3">
      <c r="A147" s="7" t="s">
        <v>258</v>
      </c>
      <c r="B147" s="8"/>
      <c r="C147" s="8">
        <v>4.3606731290000003</v>
      </c>
    </row>
    <row r="148" spans="1:3">
      <c r="A148" s="7" t="s">
        <v>270</v>
      </c>
      <c r="B148" s="8"/>
      <c r="C148" s="8">
        <v>4.1676021800000003</v>
      </c>
    </row>
    <row r="149" spans="1:3">
      <c r="A149" s="7" t="s">
        <v>262</v>
      </c>
      <c r="B149" s="8"/>
      <c r="C149" s="8">
        <v>7.8804029279999996</v>
      </c>
    </row>
    <row r="150" spans="1:3">
      <c r="A150" s="7" t="s">
        <v>237</v>
      </c>
      <c r="B150" s="8"/>
      <c r="C150" s="8">
        <v>0.14289875600000002</v>
      </c>
    </row>
    <row r="151" spans="1:3">
      <c r="A151" s="7" t="s">
        <v>274</v>
      </c>
      <c r="B151" s="8"/>
      <c r="C151" s="8">
        <v>11.496655888999999</v>
      </c>
    </row>
    <row r="152" spans="1:3">
      <c r="A152" s="7" t="s">
        <v>278</v>
      </c>
      <c r="B152" s="8"/>
      <c r="C152" s="8">
        <v>7.0097732600000002</v>
      </c>
    </row>
    <row r="153" spans="1:3">
      <c r="A153" s="7" t="s">
        <v>246</v>
      </c>
      <c r="B153" s="8"/>
      <c r="C153" s="8">
        <v>1.0849442499999999</v>
      </c>
    </row>
    <row r="154" spans="1:3">
      <c r="A154" s="7" t="s">
        <v>250</v>
      </c>
      <c r="B154" s="8"/>
      <c r="C154" s="8">
        <v>3.7522071100000001</v>
      </c>
    </row>
    <row r="155" spans="1:3">
      <c r="A155" s="7" t="s">
        <v>254</v>
      </c>
      <c r="B155" s="8"/>
      <c r="C155" s="8">
        <v>5.5631541040000005</v>
      </c>
    </row>
    <row r="156" spans="1:3">
      <c r="A156" s="7" t="s">
        <v>652</v>
      </c>
      <c r="B156" s="8"/>
      <c r="C156" s="8"/>
    </row>
    <row r="157" spans="1:3">
      <c r="A157" s="7" t="s">
        <v>653</v>
      </c>
      <c r="B157" s="8">
        <v>829.73899999999992</v>
      </c>
      <c r="C157" s="8">
        <v>829.73900000099968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C15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7"/>
    </sheetView>
  </sheetViews>
  <sheetFormatPr defaultRowHeight="15"/>
  <cols>
    <col min="1" max="1" width="70.42578125" customWidth="1"/>
    <col min="2" max="2" width="39" customWidth="1"/>
    <col min="3" max="3" width="40.7109375" customWidth="1"/>
    <col min="4" max="4" width="39" customWidth="1"/>
    <col min="5" max="5" width="40.7109375" customWidth="1"/>
  </cols>
  <sheetData>
    <row r="3" spans="1:3">
      <c r="B3" s="6" t="s">
        <v>654</v>
      </c>
    </row>
    <row r="4" spans="1:3">
      <c r="A4" s="6" t="s">
        <v>651</v>
      </c>
      <c r="B4" t="s">
        <v>657</v>
      </c>
      <c r="C4" t="s">
        <v>658</v>
      </c>
    </row>
    <row r="5" spans="1:3">
      <c r="A5" s="7" t="s">
        <v>613</v>
      </c>
      <c r="B5" s="8">
        <v>23734</v>
      </c>
      <c r="C5" s="8"/>
    </row>
    <row r="6" spans="1:3">
      <c r="A6" s="7" t="s">
        <v>118</v>
      </c>
      <c r="B6" s="8"/>
      <c r="C6" s="8">
        <v>14576</v>
      </c>
    </row>
    <row r="7" spans="1:3">
      <c r="A7" s="7" t="s">
        <v>122</v>
      </c>
      <c r="B7" s="8"/>
      <c r="C7" s="8">
        <v>15972</v>
      </c>
    </row>
    <row r="8" spans="1:3">
      <c r="A8" s="7" t="s">
        <v>98</v>
      </c>
      <c r="B8" s="8"/>
      <c r="C8" s="8">
        <v>129820</v>
      </c>
    </row>
    <row r="9" spans="1:3">
      <c r="A9" s="7" t="s">
        <v>141</v>
      </c>
      <c r="B9" s="8"/>
      <c r="C9" s="8">
        <v>122248</v>
      </c>
    </row>
    <row r="10" spans="1:3">
      <c r="A10" s="7" t="s">
        <v>133</v>
      </c>
      <c r="B10" s="8"/>
      <c r="C10" s="8">
        <v>185830</v>
      </c>
    </row>
    <row r="11" spans="1:3">
      <c r="A11" s="7" t="s">
        <v>76</v>
      </c>
      <c r="B11" s="8"/>
      <c r="C11" s="8">
        <v>370821</v>
      </c>
    </row>
    <row r="12" spans="1:3">
      <c r="A12" s="7" t="s">
        <v>72</v>
      </c>
      <c r="B12" s="8"/>
      <c r="C12" s="8">
        <v>386133</v>
      </c>
    </row>
    <row r="13" spans="1:3">
      <c r="A13" s="7" t="s">
        <v>63</v>
      </c>
      <c r="B13" s="8"/>
      <c r="C13" s="8">
        <v>353355</v>
      </c>
    </row>
    <row r="14" spans="1:3">
      <c r="A14" s="7" t="s">
        <v>145</v>
      </c>
      <c r="B14" s="8"/>
      <c r="C14" s="8">
        <v>179518</v>
      </c>
    </row>
    <row r="15" spans="1:3">
      <c r="A15" s="7" t="s">
        <v>137</v>
      </c>
      <c r="B15" s="8"/>
      <c r="C15" s="8">
        <v>78528</v>
      </c>
    </row>
    <row r="16" spans="1:3">
      <c r="A16" s="7" t="s">
        <v>508</v>
      </c>
      <c r="B16" s="8"/>
      <c r="C16" s="8">
        <v>102972</v>
      </c>
    </row>
    <row r="17" spans="1:3">
      <c r="A17" s="7" t="s">
        <v>512</v>
      </c>
      <c r="B17" s="8"/>
      <c r="C17" s="8">
        <v>126072</v>
      </c>
    </row>
    <row r="18" spans="1:3">
      <c r="A18" s="7" t="s">
        <v>516</v>
      </c>
      <c r="B18" s="8"/>
      <c r="C18" s="8">
        <v>114876</v>
      </c>
    </row>
    <row r="19" spans="1:3">
      <c r="A19" s="7" t="s">
        <v>345</v>
      </c>
      <c r="B19" s="8"/>
      <c r="C19" s="8">
        <v>179400</v>
      </c>
    </row>
    <row r="20" spans="1:3">
      <c r="A20" s="7" t="s">
        <v>401</v>
      </c>
      <c r="B20" s="8"/>
      <c r="C20" s="8">
        <v>223520</v>
      </c>
    </row>
    <row r="21" spans="1:3">
      <c r="A21" s="7" t="s">
        <v>349</v>
      </c>
      <c r="B21" s="8"/>
      <c r="C21" s="8">
        <v>1181940</v>
      </c>
    </row>
    <row r="22" spans="1:3">
      <c r="A22" s="7" t="s">
        <v>369</v>
      </c>
      <c r="B22" s="8"/>
      <c r="C22" s="8">
        <v>317752</v>
      </c>
    </row>
    <row r="23" spans="1:3">
      <c r="A23" s="7" t="s">
        <v>365</v>
      </c>
      <c r="B23" s="8"/>
      <c r="C23" s="8">
        <v>155720</v>
      </c>
    </row>
    <row r="24" spans="1:3">
      <c r="A24" s="7" t="s">
        <v>357</v>
      </c>
      <c r="B24" s="8"/>
      <c r="C24" s="8">
        <v>737480</v>
      </c>
    </row>
    <row r="25" spans="1:3">
      <c r="A25" s="7" t="s">
        <v>361</v>
      </c>
      <c r="B25" s="8"/>
      <c r="C25" s="8">
        <v>365680</v>
      </c>
    </row>
    <row r="26" spans="1:3">
      <c r="A26" s="7" t="s">
        <v>353</v>
      </c>
      <c r="B26" s="8"/>
      <c r="C26" s="8">
        <v>330520</v>
      </c>
    </row>
    <row r="27" spans="1:3">
      <c r="A27" s="7" t="s">
        <v>315</v>
      </c>
      <c r="B27" s="8"/>
      <c r="C27" s="8">
        <v>131428</v>
      </c>
    </row>
    <row r="28" spans="1:3">
      <c r="A28" s="7" t="s">
        <v>429</v>
      </c>
      <c r="B28" s="8"/>
      <c r="C28" s="8">
        <v>36304</v>
      </c>
    </row>
    <row r="29" spans="1:3">
      <c r="A29" s="7" t="s">
        <v>437</v>
      </c>
      <c r="B29" s="8"/>
      <c r="C29" s="8">
        <v>86880</v>
      </c>
    </row>
    <row r="30" spans="1:3">
      <c r="A30" s="7" t="s">
        <v>425</v>
      </c>
      <c r="B30" s="8"/>
      <c r="C30" s="8">
        <v>37408</v>
      </c>
    </row>
    <row r="31" spans="1:3">
      <c r="A31" s="7" t="s">
        <v>433</v>
      </c>
      <c r="B31" s="8"/>
      <c r="C31" s="8">
        <v>68192</v>
      </c>
    </row>
    <row r="32" spans="1:3">
      <c r="A32" s="7" t="s">
        <v>222</v>
      </c>
      <c r="B32" s="8"/>
      <c r="C32" s="8">
        <v>48800</v>
      </c>
    </row>
    <row r="33" spans="1:3">
      <c r="A33" s="7" t="s">
        <v>226</v>
      </c>
      <c r="B33" s="8"/>
      <c r="C33" s="8">
        <v>49360</v>
      </c>
    </row>
    <row r="34" spans="1:3">
      <c r="A34" s="7" t="s">
        <v>128</v>
      </c>
      <c r="B34" s="8"/>
      <c r="C34" s="8">
        <v>331104</v>
      </c>
    </row>
    <row r="35" spans="1:3">
      <c r="A35" s="7" t="s">
        <v>498</v>
      </c>
      <c r="B35" s="8"/>
      <c r="C35" s="8">
        <v>372736</v>
      </c>
    </row>
    <row r="36" spans="1:3">
      <c r="A36" s="7" t="s">
        <v>486</v>
      </c>
      <c r="B36" s="8"/>
      <c r="C36" s="8">
        <v>120144</v>
      </c>
    </row>
    <row r="37" spans="1:3">
      <c r="A37" s="7" t="s">
        <v>490</v>
      </c>
      <c r="B37" s="8"/>
      <c r="C37" s="8">
        <v>162360</v>
      </c>
    </row>
    <row r="38" spans="1:3">
      <c r="A38" s="7" t="s">
        <v>482</v>
      </c>
      <c r="B38" s="8"/>
      <c r="C38" s="8">
        <v>151160</v>
      </c>
    </row>
    <row r="39" spans="1:3">
      <c r="A39" s="7" t="s">
        <v>494</v>
      </c>
      <c r="B39" s="8"/>
      <c r="C39" s="8">
        <v>116352</v>
      </c>
    </row>
    <row r="40" spans="1:3">
      <c r="A40" s="7" t="s">
        <v>289</v>
      </c>
      <c r="B40" s="8"/>
      <c r="C40" s="8">
        <v>7328</v>
      </c>
    </row>
    <row r="41" spans="1:3">
      <c r="A41" s="7" t="s">
        <v>417</v>
      </c>
      <c r="B41" s="8"/>
      <c r="C41" s="8">
        <v>84648</v>
      </c>
    </row>
    <row r="42" spans="1:3">
      <c r="A42" s="7" t="s">
        <v>68</v>
      </c>
      <c r="B42" s="8"/>
      <c r="C42" s="8">
        <v>89712</v>
      </c>
    </row>
    <row r="43" spans="1:3">
      <c r="A43" s="7" t="s">
        <v>413</v>
      </c>
      <c r="B43" s="8"/>
      <c r="C43" s="8">
        <v>131448</v>
      </c>
    </row>
    <row r="44" spans="1:3">
      <c r="A44" s="7" t="s">
        <v>409</v>
      </c>
      <c r="B44" s="8"/>
      <c r="C44" s="8">
        <v>184320</v>
      </c>
    </row>
    <row r="45" spans="1:3">
      <c r="A45" s="7" t="s">
        <v>405</v>
      </c>
      <c r="B45" s="8"/>
      <c r="C45" s="8">
        <v>99240</v>
      </c>
    </row>
    <row r="46" spans="1:3">
      <c r="A46" s="7" t="s">
        <v>324</v>
      </c>
      <c r="B46" s="8"/>
      <c r="C46" s="8">
        <v>73244</v>
      </c>
    </row>
    <row r="47" spans="1:3">
      <c r="A47" s="7" t="s">
        <v>328</v>
      </c>
      <c r="B47" s="8"/>
      <c r="C47" s="8">
        <v>32280</v>
      </c>
    </row>
    <row r="48" spans="1:3">
      <c r="A48" s="7" t="s">
        <v>332</v>
      </c>
      <c r="B48" s="8"/>
      <c r="C48" s="8">
        <v>43260</v>
      </c>
    </row>
    <row r="49" spans="1:3">
      <c r="A49" s="7" t="s">
        <v>336</v>
      </c>
      <c r="B49" s="8"/>
      <c r="C49" s="8">
        <v>41136</v>
      </c>
    </row>
    <row r="50" spans="1:3">
      <c r="A50" s="7" t="s">
        <v>443</v>
      </c>
      <c r="B50" s="8"/>
      <c r="C50" s="8">
        <v>187200</v>
      </c>
    </row>
    <row r="51" spans="1:3">
      <c r="A51" s="7" t="s">
        <v>447</v>
      </c>
      <c r="B51" s="8"/>
      <c r="C51" s="8">
        <v>242280</v>
      </c>
    </row>
    <row r="52" spans="1:3">
      <c r="A52" s="7" t="s">
        <v>110</v>
      </c>
      <c r="B52" s="8"/>
      <c r="C52" s="8">
        <v>10080</v>
      </c>
    </row>
    <row r="53" spans="1:3">
      <c r="A53" s="7" t="s">
        <v>82</v>
      </c>
      <c r="B53" s="8"/>
      <c r="C53" s="8">
        <v>87358</v>
      </c>
    </row>
    <row r="54" spans="1:3">
      <c r="A54" s="7" t="s">
        <v>86</v>
      </c>
      <c r="B54" s="8"/>
      <c r="C54" s="8">
        <v>189576</v>
      </c>
    </row>
    <row r="55" spans="1:3">
      <c r="A55" s="7" t="s">
        <v>90</v>
      </c>
      <c r="B55" s="8"/>
      <c r="C55" s="8">
        <v>152128</v>
      </c>
    </row>
    <row r="56" spans="1:3">
      <c r="A56" s="7" t="s">
        <v>94</v>
      </c>
      <c r="B56" s="8"/>
      <c r="C56" s="8">
        <v>614604</v>
      </c>
    </row>
    <row r="57" spans="1:3">
      <c r="A57" s="7" t="s">
        <v>466</v>
      </c>
      <c r="B57" s="8"/>
      <c r="C57" s="8">
        <v>4344</v>
      </c>
    </row>
    <row r="58" spans="1:3">
      <c r="A58" s="7" t="s">
        <v>470</v>
      </c>
      <c r="B58" s="8"/>
      <c r="C58" s="8">
        <v>8328</v>
      </c>
    </row>
    <row r="59" spans="1:3">
      <c r="A59" s="7" t="s">
        <v>474</v>
      </c>
      <c r="B59" s="8"/>
      <c r="C59" s="8">
        <v>4320</v>
      </c>
    </row>
    <row r="60" spans="1:3">
      <c r="A60" s="7" t="s">
        <v>630</v>
      </c>
      <c r="B60" s="8">
        <v>2200</v>
      </c>
      <c r="C60" s="8"/>
    </row>
    <row r="61" spans="1:3">
      <c r="A61" s="7" t="s">
        <v>543</v>
      </c>
      <c r="B61" s="8">
        <v>151230</v>
      </c>
      <c r="C61" s="8"/>
    </row>
    <row r="62" spans="1:3">
      <c r="A62" s="7" t="s">
        <v>567</v>
      </c>
      <c r="B62" s="8">
        <v>447940</v>
      </c>
      <c r="C62" s="8"/>
    </row>
    <row r="63" spans="1:3">
      <c r="A63" s="7" t="s">
        <v>625</v>
      </c>
      <c r="B63" s="8">
        <v>32280</v>
      </c>
      <c r="C63" s="8"/>
    </row>
    <row r="64" spans="1:3">
      <c r="A64" s="7" t="s">
        <v>564</v>
      </c>
      <c r="B64" s="8">
        <v>578205</v>
      </c>
      <c r="C64" s="8"/>
    </row>
    <row r="65" spans="1:3">
      <c r="A65" s="7" t="s">
        <v>622</v>
      </c>
      <c r="B65" s="8">
        <v>189195</v>
      </c>
      <c r="C65" s="8"/>
    </row>
    <row r="66" spans="1:3">
      <c r="A66" s="7" t="s">
        <v>637</v>
      </c>
      <c r="B66" s="8">
        <v>258310</v>
      </c>
      <c r="C66" s="8"/>
    </row>
    <row r="67" spans="1:3">
      <c r="A67" s="7" t="s">
        <v>640</v>
      </c>
      <c r="B67" s="8">
        <v>37700</v>
      </c>
      <c r="C67" s="8"/>
    </row>
    <row r="68" spans="1:3">
      <c r="A68" s="7" t="s">
        <v>106</v>
      </c>
      <c r="B68" s="8"/>
      <c r="C68" s="8">
        <v>10010</v>
      </c>
    </row>
    <row r="69" spans="1:3">
      <c r="A69" s="7" t="s">
        <v>102</v>
      </c>
      <c r="B69" s="8"/>
      <c r="C69" s="8">
        <v>13280</v>
      </c>
    </row>
    <row r="70" spans="1:3">
      <c r="A70" s="7" t="s">
        <v>299</v>
      </c>
      <c r="B70" s="8"/>
      <c r="C70" s="8">
        <v>7300</v>
      </c>
    </row>
    <row r="71" spans="1:3">
      <c r="A71" s="7" t="s">
        <v>377</v>
      </c>
      <c r="B71" s="8"/>
      <c r="C71" s="8">
        <v>40240</v>
      </c>
    </row>
    <row r="72" spans="1:3">
      <c r="A72" s="7" t="s">
        <v>311</v>
      </c>
      <c r="B72" s="8"/>
      <c r="C72" s="8">
        <v>29440</v>
      </c>
    </row>
    <row r="73" spans="1:3">
      <c r="A73" s="7" t="s">
        <v>303</v>
      </c>
      <c r="B73" s="8"/>
      <c r="C73" s="8">
        <v>9540</v>
      </c>
    </row>
    <row r="74" spans="1:3">
      <c r="A74" s="7" t="s">
        <v>385</v>
      </c>
      <c r="B74" s="8"/>
      <c r="C74" s="8">
        <v>52720</v>
      </c>
    </row>
    <row r="75" spans="1:3">
      <c r="A75" s="7" t="s">
        <v>381</v>
      </c>
      <c r="B75" s="8"/>
      <c r="C75" s="8">
        <v>40720</v>
      </c>
    </row>
    <row r="76" spans="1:3">
      <c r="A76" s="7" t="s">
        <v>320</v>
      </c>
      <c r="B76" s="8"/>
      <c r="C76" s="8">
        <v>18600</v>
      </c>
    </row>
    <row r="77" spans="1:3">
      <c r="A77" s="7" t="s">
        <v>307</v>
      </c>
      <c r="B77" s="8"/>
      <c r="C77" s="8">
        <v>18580</v>
      </c>
    </row>
    <row r="78" spans="1:3">
      <c r="A78" s="7" t="s">
        <v>389</v>
      </c>
      <c r="B78" s="8"/>
      <c r="C78" s="8">
        <v>25224</v>
      </c>
    </row>
    <row r="79" spans="1:3">
      <c r="A79" s="7" t="s">
        <v>393</v>
      </c>
      <c r="B79" s="8"/>
      <c r="C79" s="8">
        <v>42480</v>
      </c>
    </row>
    <row r="80" spans="1:3">
      <c r="A80" s="7" t="s">
        <v>397</v>
      </c>
      <c r="B80" s="8"/>
      <c r="C80" s="8">
        <v>61320</v>
      </c>
    </row>
    <row r="81" spans="1:3">
      <c r="A81" s="7" t="s">
        <v>373</v>
      </c>
      <c r="B81" s="8"/>
      <c r="C81" s="8">
        <v>68560</v>
      </c>
    </row>
    <row r="82" spans="1:3">
      <c r="A82" s="7" t="s">
        <v>341</v>
      </c>
      <c r="B82" s="8"/>
      <c r="C82" s="8">
        <v>2496</v>
      </c>
    </row>
    <row r="83" spans="1:3">
      <c r="A83" s="7" t="s">
        <v>421</v>
      </c>
      <c r="B83" s="8"/>
      <c r="C83" s="8">
        <v>29064</v>
      </c>
    </row>
    <row r="84" spans="1:3">
      <c r="A84" s="7" t="s">
        <v>595</v>
      </c>
      <c r="B84" s="8">
        <v>356200</v>
      </c>
      <c r="C84" s="8"/>
    </row>
    <row r="85" spans="1:3">
      <c r="A85" s="7" t="s">
        <v>598</v>
      </c>
      <c r="B85" s="8">
        <v>1448538</v>
      </c>
      <c r="C85" s="8"/>
    </row>
    <row r="86" spans="1:3">
      <c r="A86" s="7" t="s">
        <v>601</v>
      </c>
      <c r="B86" s="8">
        <v>216406</v>
      </c>
      <c r="C86" s="8"/>
    </row>
    <row r="87" spans="1:3">
      <c r="A87" s="7" t="s">
        <v>230</v>
      </c>
      <c r="B87" s="8"/>
      <c r="C87" s="8">
        <v>33820</v>
      </c>
    </row>
    <row r="88" spans="1:3">
      <c r="A88" s="7" t="s">
        <v>462</v>
      </c>
      <c r="B88" s="8"/>
      <c r="C88" s="8">
        <v>7800</v>
      </c>
    </row>
    <row r="89" spans="1:3">
      <c r="A89" s="7" t="s">
        <v>502</v>
      </c>
      <c r="B89" s="8"/>
      <c r="C89" s="8">
        <v>242360</v>
      </c>
    </row>
    <row r="90" spans="1:3">
      <c r="A90" s="7" t="s">
        <v>478</v>
      </c>
      <c r="B90" s="8"/>
      <c r="C90" s="8">
        <v>61341</v>
      </c>
    </row>
    <row r="91" spans="1:3">
      <c r="A91" s="7" t="s">
        <v>458</v>
      </c>
      <c r="B91" s="8"/>
      <c r="C91" s="8">
        <v>40044</v>
      </c>
    </row>
    <row r="92" spans="1:3">
      <c r="A92" s="7" t="s">
        <v>455</v>
      </c>
      <c r="B92" s="8"/>
      <c r="C92" s="8">
        <v>64008</v>
      </c>
    </row>
    <row r="93" spans="1:3">
      <c r="A93" s="7" t="s">
        <v>451</v>
      </c>
      <c r="B93" s="8"/>
      <c r="C93" s="8">
        <v>40488</v>
      </c>
    </row>
    <row r="94" spans="1:3">
      <c r="A94" s="7" t="s">
        <v>643</v>
      </c>
      <c r="B94" s="8">
        <v>17440</v>
      </c>
      <c r="C94" s="8"/>
    </row>
    <row r="95" spans="1:3">
      <c r="A95" s="7" t="s">
        <v>571</v>
      </c>
      <c r="B95" s="8">
        <v>12030</v>
      </c>
      <c r="C95" s="8"/>
    </row>
    <row r="96" spans="1:3">
      <c r="A96" s="7" t="s">
        <v>561</v>
      </c>
      <c r="B96" s="8">
        <v>12200</v>
      </c>
      <c r="C96" s="8"/>
    </row>
    <row r="97" spans="1:3">
      <c r="A97" s="7" t="s">
        <v>557</v>
      </c>
      <c r="B97" s="8">
        <v>435080</v>
      </c>
      <c r="C97" s="8"/>
    </row>
    <row r="98" spans="1:3">
      <c r="A98" s="7" t="s">
        <v>19</v>
      </c>
      <c r="B98" s="8"/>
      <c r="C98" s="8">
        <v>202676</v>
      </c>
    </row>
    <row r="99" spans="1:3">
      <c r="A99" s="7" t="s">
        <v>216</v>
      </c>
      <c r="B99" s="8"/>
      <c r="C99" s="8">
        <v>974124</v>
      </c>
    </row>
    <row r="100" spans="1:3">
      <c r="A100" s="7" t="s">
        <v>212</v>
      </c>
      <c r="B100" s="8"/>
      <c r="C100" s="8">
        <v>365394</v>
      </c>
    </row>
    <row r="101" spans="1:3">
      <c r="A101" s="7" t="s">
        <v>57</v>
      </c>
      <c r="B101" s="8"/>
      <c r="C101" s="8">
        <v>1054032</v>
      </c>
    </row>
    <row r="102" spans="1:3">
      <c r="A102" s="7" t="s">
        <v>165</v>
      </c>
      <c r="B102" s="8"/>
      <c r="C102" s="8">
        <v>206526</v>
      </c>
    </row>
    <row r="103" spans="1:3">
      <c r="A103" s="7" t="s">
        <v>49</v>
      </c>
      <c r="B103" s="8"/>
      <c r="C103" s="8">
        <v>52352</v>
      </c>
    </row>
    <row r="104" spans="1:3">
      <c r="A104" s="7" t="s">
        <v>53</v>
      </c>
      <c r="B104" s="8"/>
      <c r="C104" s="8">
        <v>174432</v>
      </c>
    </row>
    <row r="105" spans="1:3">
      <c r="A105" s="7" t="s">
        <v>161</v>
      </c>
      <c r="B105" s="8"/>
      <c r="C105" s="8">
        <v>570090</v>
      </c>
    </row>
    <row r="106" spans="1:3">
      <c r="A106" s="7" t="s">
        <v>619</v>
      </c>
      <c r="B106" s="8">
        <v>18322</v>
      </c>
      <c r="C106" s="8"/>
    </row>
    <row r="107" spans="1:3">
      <c r="A107" s="7" t="s">
        <v>633</v>
      </c>
      <c r="B107" s="8">
        <v>408800</v>
      </c>
      <c r="C107" s="8"/>
    </row>
    <row r="108" spans="1:3">
      <c r="A108" s="7" t="s">
        <v>547</v>
      </c>
      <c r="B108" s="8">
        <v>595630</v>
      </c>
      <c r="C108" s="8"/>
    </row>
    <row r="109" spans="1:3">
      <c r="A109" s="7" t="s">
        <v>616</v>
      </c>
      <c r="B109" s="8">
        <v>19680</v>
      </c>
      <c r="C109" s="8"/>
    </row>
    <row r="110" spans="1:3">
      <c r="A110" s="7" t="s">
        <v>536</v>
      </c>
      <c r="B110" s="8">
        <v>2417535</v>
      </c>
      <c r="C110" s="8"/>
    </row>
    <row r="111" spans="1:3">
      <c r="A111" s="7" t="s">
        <v>627</v>
      </c>
      <c r="B111" s="8">
        <v>410360</v>
      </c>
      <c r="C111" s="8"/>
    </row>
    <row r="112" spans="1:3">
      <c r="A112" s="7" t="s">
        <v>174</v>
      </c>
      <c r="B112" s="8"/>
      <c r="C112" s="8">
        <v>30900</v>
      </c>
    </row>
    <row r="113" spans="1:3">
      <c r="A113" s="7" t="s">
        <v>208</v>
      </c>
      <c r="B113" s="8"/>
      <c r="C113" s="8">
        <v>8100</v>
      </c>
    </row>
    <row r="114" spans="1:3">
      <c r="A114" s="7" t="s">
        <v>183</v>
      </c>
      <c r="B114" s="8"/>
      <c r="C114" s="8">
        <v>23652</v>
      </c>
    </row>
    <row r="115" spans="1:3">
      <c r="A115" s="7" t="s">
        <v>191</v>
      </c>
      <c r="B115" s="8"/>
      <c r="C115" s="8">
        <v>103194</v>
      </c>
    </row>
    <row r="116" spans="1:3">
      <c r="A116" s="7" t="s">
        <v>179</v>
      </c>
      <c r="B116" s="8"/>
      <c r="C116" s="8">
        <v>15000</v>
      </c>
    </row>
    <row r="117" spans="1:3">
      <c r="A117" s="7" t="s">
        <v>169</v>
      </c>
      <c r="B117" s="8"/>
      <c r="C117" s="8">
        <v>47664</v>
      </c>
    </row>
    <row r="118" spans="1:3">
      <c r="A118" s="7" t="s">
        <v>204</v>
      </c>
      <c r="B118" s="8"/>
      <c r="C118" s="8">
        <v>14052</v>
      </c>
    </row>
    <row r="119" spans="1:3">
      <c r="A119" s="7" t="s">
        <v>196</v>
      </c>
      <c r="B119" s="8"/>
      <c r="C119" s="8">
        <v>15540</v>
      </c>
    </row>
    <row r="120" spans="1:3">
      <c r="A120" s="7" t="s">
        <v>45</v>
      </c>
      <c r="B120" s="8"/>
      <c r="C120" s="8">
        <v>106128</v>
      </c>
    </row>
    <row r="121" spans="1:3">
      <c r="A121" s="7" t="s">
        <v>24</v>
      </c>
      <c r="B121" s="8"/>
      <c r="C121" s="8">
        <v>87744</v>
      </c>
    </row>
    <row r="122" spans="1:3">
      <c r="A122" s="7" t="s">
        <v>187</v>
      </c>
      <c r="B122" s="8"/>
      <c r="C122" s="8">
        <v>64008</v>
      </c>
    </row>
    <row r="123" spans="1:3">
      <c r="A123" s="7" t="s">
        <v>200</v>
      </c>
      <c r="B123" s="8"/>
      <c r="C123" s="8">
        <v>146664</v>
      </c>
    </row>
    <row r="124" spans="1:3">
      <c r="A124" s="7" t="s">
        <v>157</v>
      </c>
      <c r="B124" s="8"/>
      <c r="C124" s="8">
        <v>296352</v>
      </c>
    </row>
    <row r="125" spans="1:3">
      <c r="A125" s="7" t="s">
        <v>153</v>
      </c>
      <c r="B125" s="8"/>
      <c r="C125" s="8">
        <v>90936</v>
      </c>
    </row>
    <row r="126" spans="1:3">
      <c r="A126" s="7" t="s">
        <v>266</v>
      </c>
      <c r="B126" s="8"/>
      <c r="C126" s="8">
        <v>1084360</v>
      </c>
    </row>
    <row r="127" spans="1:3">
      <c r="A127" s="7" t="s">
        <v>241</v>
      </c>
      <c r="B127" s="8"/>
      <c r="C127" s="8">
        <v>39440</v>
      </c>
    </row>
    <row r="128" spans="1:3">
      <c r="A128" s="7" t="s">
        <v>583</v>
      </c>
      <c r="B128" s="8">
        <v>8860</v>
      </c>
      <c r="C128" s="8"/>
    </row>
    <row r="129" spans="1:3">
      <c r="A129" s="7" t="s">
        <v>606</v>
      </c>
      <c r="B129" s="8">
        <v>3400</v>
      </c>
      <c r="C129" s="8"/>
    </row>
    <row r="130" spans="1:3">
      <c r="A130" s="7" t="s">
        <v>574</v>
      </c>
      <c r="B130" s="8">
        <v>12620</v>
      </c>
      <c r="C130" s="8"/>
    </row>
    <row r="131" spans="1:3">
      <c r="A131" s="7" t="s">
        <v>577</v>
      </c>
      <c r="B131" s="8">
        <v>249002</v>
      </c>
      <c r="C131" s="8"/>
    </row>
    <row r="132" spans="1:3">
      <c r="A132" s="7" t="s">
        <v>41</v>
      </c>
      <c r="B132" s="8"/>
      <c r="C132" s="8">
        <v>7032</v>
      </c>
    </row>
    <row r="133" spans="1:3">
      <c r="A133" s="7" t="s">
        <v>29</v>
      </c>
      <c r="B133" s="8"/>
      <c r="C133" s="8">
        <v>2123464</v>
      </c>
    </row>
    <row r="134" spans="1:3">
      <c r="A134" s="7" t="s">
        <v>611</v>
      </c>
      <c r="B134" s="8">
        <v>37160</v>
      </c>
      <c r="C134" s="8"/>
    </row>
    <row r="135" spans="1:3">
      <c r="A135" s="7" t="s">
        <v>609</v>
      </c>
      <c r="B135" s="8">
        <v>329680</v>
      </c>
      <c r="C135" s="8"/>
    </row>
    <row r="136" spans="1:3">
      <c r="A136" s="7" t="s">
        <v>604</v>
      </c>
      <c r="B136" s="8">
        <v>36880</v>
      </c>
      <c r="C136" s="8"/>
    </row>
    <row r="137" spans="1:3">
      <c r="A137" s="7" t="s">
        <v>581</v>
      </c>
      <c r="B137" s="8">
        <v>84740</v>
      </c>
      <c r="C137" s="8"/>
    </row>
    <row r="138" spans="1:3">
      <c r="A138" s="7" t="s">
        <v>33</v>
      </c>
      <c r="B138" s="8"/>
      <c r="C138" s="8">
        <v>223552</v>
      </c>
    </row>
    <row r="139" spans="1:3">
      <c r="A139" s="7" t="s">
        <v>37</v>
      </c>
      <c r="B139" s="8"/>
      <c r="C139" s="8">
        <v>51888</v>
      </c>
    </row>
    <row r="140" spans="1:3">
      <c r="A140" s="7" t="s">
        <v>282</v>
      </c>
      <c r="B140" s="8"/>
      <c r="C140" s="8">
        <v>58485</v>
      </c>
    </row>
    <row r="141" spans="1:3">
      <c r="A141" s="7" t="s">
        <v>540</v>
      </c>
      <c r="B141" s="8">
        <v>19080</v>
      </c>
      <c r="C141" s="8"/>
    </row>
    <row r="142" spans="1:3">
      <c r="A142" s="7" t="s">
        <v>586</v>
      </c>
      <c r="B142" s="8">
        <v>589350</v>
      </c>
      <c r="C142" s="8"/>
    </row>
    <row r="143" spans="1:3">
      <c r="A143" s="7" t="s">
        <v>551</v>
      </c>
      <c r="B143" s="8">
        <v>12060</v>
      </c>
      <c r="C143" s="8"/>
    </row>
    <row r="144" spans="1:3">
      <c r="A144" s="7" t="s">
        <v>554</v>
      </c>
      <c r="B144" s="8">
        <v>12450</v>
      </c>
      <c r="C144" s="8"/>
    </row>
    <row r="145" spans="1:3">
      <c r="A145" s="7" t="s">
        <v>589</v>
      </c>
      <c r="B145" s="8">
        <v>36660</v>
      </c>
      <c r="C145" s="8"/>
    </row>
    <row r="146" spans="1:3">
      <c r="A146" s="7" t="s">
        <v>592</v>
      </c>
      <c r="B146" s="8">
        <v>456300</v>
      </c>
      <c r="C146" s="8"/>
    </row>
    <row r="147" spans="1:3">
      <c r="A147" s="7" t="s">
        <v>258</v>
      </c>
      <c r="B147" s="8"/>
      <c r="C147" s="8">
        <v>268320</v>
      </c>
    </row>
    <row r="148" spans="1:3">
      <c r="A148" s="7" t="s">
        <v>270</v>
      </c>
      <c r="B148" s="8"/>
      <c r="C148" s="8">
        <v>256440</v>
      </c>
    </row>
    <row r="149" spans="1:3">
      <c r="A149" s="7" t="s">
        <v>262</v>
      </c>
      <c r="B149" s="8"/>
      <c r="C149" s="8">
        <v>494640</v>
      </c>
    </row>
    <row r="150" spans="1:3">
      <c r="A150" s="7" t="s">
        <v>237</v>
      </c>
      <c r="B150" s="8"/>
      <c r="C150" s="8">
        <v>23390</v>
      </c>
    </row>
    <row r="151" spans="1:3">
      <c r="A151" s="7" t="s">
        <v>274</v>
      </c>
      <c r="B151" s="8"/>
      <c r="C151" s="8">
        <v>770976</v>
      </c>
    </row>
    <row r="152" spans="1:3">
      <c r="A152" s="7" t="s">
        <v>278</v>
      </c>
      <c r="B152" s="8"/>
      <c r="C152" s="8">
        <v>439992</v>
      </c>
    </row>
    <row r="153" spans="1:3">
      <c r="A153" s="7" t="s">
        <v>246</v>
      </c>
      <c r="B153" s="8"/>
      <c r="C153" s="8">
        <v>78048</v>
      </c>
    </row>
    <row r="154" spans="1:3">
      <c r="A154" s="7" t="s">
        <v>250</v>
      </c>
      <c r="B154" s="8"/>
      <c r="C154" s="8">
        <v>230880</v>
      </c>
    </row>
    <row r="155" spans="1:3">
      <c r="A155" s="7" t="s">
        <v>254</v>
      </c>
      <c r="B155" s="8"/>
      <c r="C155" s="8">
        <v>333936</v>
      </c>
    </row>
    <row r="156" spans="1:3">
      <c r="A156" s="7" t="s">
        <v>652</v>
      </c>
      <c r="B156" s="8"/>
      <c r="C156" s="8"/>
    </row>
    <row r="157" spans="1:3">
      <c r="A157" s="7" t="s">
        <v>653</v>
      </c>
      <c r="B157" s="8">
        <v>9977257</v>
      </c>
      <c r="C157" s="8">
        <v>21765633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67"/>
  <sheetViews>
    <sheetView workbookViewId="0">
      <selection activeCell="J20" sqref="J20"/>
    </sheetView>
  </sheetViews>
  <sheetFormatPr defaultRowHeight="15"/>
  <cols>
    <col min="1" max="1" width="26.28515625" customWidth="1"/>
    <col min="2" max="2" width="19" customWidth="1"/>
    <col min="3" max="3" width="19.42578125" customWidth="1"/>
    <col min="4" max="4" width="15.85546875" customWidth="1"/>
  </cols>
  <sheetData>
    <row r="1" spans="1:4" ht="15.75" thickBot="1"/>
    <row r="2" spans="1:4" ht="23.25" thickBot="1">
      <c r="A2" s="2" t="s">
        <v>659</v>
      </c>
      <c r="B2" s="2" t="s">
        <v>660</v>
      </c>
      <c r="C2" s="2" t="s">
        <v>661</v>
      </c>
      <c r="D2" s="2" t="s">
        <v>662</v>
      </c>
    </row>
    <row r="3" spans="1:4" ht="15.75" thickBot="1">
      <c r="A3" s="2"/>
      <c r="B3" s="2"/>
    </row>
    <row r="4" spans="1:4" ht="15.75" thickBot="1">
      <c r="A4" s="3">
        <v>0.19236663200000001</v>
      </c>
      <c r="B4" s="3">
        <v>50669</v>
      </c>
    </row>
    <row r="5" spans="1:4" ht="15.75" thickBot="1">
      <c r="A5" s="3">
        <v>9.1128218999999996E-2</v>
      </c>
      <c r="B5" s="3">
        <v>21936</v>
      </c>
    </row>
    <row r="6" spans="1:4" ht="15.75" thickBot="1">
      <c r="A6" s="3">
        <v>5.8363626579999996</v>
      </c>
      <c r="B6" s="3">
        <v>1061732</v>
      </c>
    </row>
    <row r="7" spans="1:4" ht="15.75" thickBot="1">
      <c r="A7" s="3">
        <v>0.61443497199999997</v>
      </c>
      <c r="B7" s="3">
        <v>111776</v>
      </c>
    </row>
    <row r="8" spans="1:4" ht="15.75" thickBot="1">
      <c r="A8" s="3">
        <v>0.20014584599999999</v>
      </c>
      <c r="B8" s="3">
        <v>25944</v>
      </c>
    </row>
    <row r="9" spans="1:4" ht="15.75" thickBot="1">
      <c r="A9" s="3">
        <v>2.7124298000000002E-2</v>
      </c>
      <c r="B9" s="3">
        <v>3516</v>
      </c>
    </row>
    <row r="10" spans="1:4" ht="15.75" thickBot="1">
      <c r="A10" s="3">
        <v>0.11022127600000001</v>
      </c>
      <c r="B10" s="3">
        <v>26532</v>
      </c>
    </row>
    <row r="11" spans="1:4" ht="15.75" thickBot="1">
      <c r="A11" s="3">
        <v>5.4371177E-2</v>
      </c>
      <c r="B11" s="3">
        <v>13088</v>
      </c>
    </row>
    <row r="12" spans="1:4" ht="15.75" thickBot="1">
      <c r="A12" s="3">
        <v>0.18115971</v>
      </c>
      <c r="B12" s="3">
        <v>43608</v>
      </c>
    </row>
    <row r="13" spans="1:4" ht="15.75" thickBot="1">
      <c r="A13" s="3">
        <v>1.094685211</v>
      </c>
      <c r="B13" s="3">
        <v>263508</v>
      </c>
    </row>
    <row r="14" spans="1:4" ht="15.75" thickBot="1">
      <c r="A14" s="3">
        <v>0.40772456099999999</v>
      </c>
      <c r="B14" s="3">
        <v>117785</v>
      </c>
    </row>
    <row r="15" spans="1:4" ht="15.75" thickBot="1">
      <c r="A15" s="3">
        <v>0.15960364799999999</v>
      </c>
      <c r="B15" s="3">
        <v>29904</v>
      </c>
    </row>
    <row r="16" spans="1:4" ht="15.75" thickBot="1">
      <c r="A16" s="3">
        <v>0.68695643100000003</v>
      </c>
      <c r="B16" s="3">
        <v>128711</v>
      </c>
    </row>
    <row r="17" spans="1:2" ht="15.75" thickBot="1">
      <c r="A17" s="3">
        <v>0.659715359</v>
      </c>
      <c r="B17" s="3">
        <v>123607</v>
      </c>
    </row>
    <row r="18" spans="1:2" ht="15.75" thickBot="1">
      <c r="A18" s="3">
        <v>0.89613059900000003</v>
      </c>
      <c r="B18" s="3">
        <v>87358</v>
      </c>
    </row>
    <row r="19" spans="1:2" ht="15.75" thickBot="1">
      <c r="A19" s="3">
        <v>1.944697159</v>
      </c>
      <c r="B19" s="3">
        <v>189576</v>
      </c>
    </row>
    <row r="20" spans="1:2" ht="15.75" thickBot="1">
      <c r="A20" s="3">
        <v>1.560550331</v>
      </c>
      <c r="B20" s="3">
        <v>152128</v>
      </c>
    </row>
    <row r="21" spans="1:2" ht="15.75" thickBot="1">
      <c r="A21" s="3">
        <v>3.1523469550000001</v>
      </c>
      <c r="B21" s="3">
        <v>307302</v>
      </c>
    </row>
    <row r="22" spans="1:2" ht="15.75" thickBot="1">
      <c r="A22" s="3">
        <v>1.331711742</v>
      </c>
      <c r="B22" s="3">
        <v>129820</v>
      </c>
    </row>
    <row r="23" spans="1:2" ht="15.75" thickBot="1">
      <c r="A23" s="3">
        <v>0.15119537399999999</v>
      </c>
      <c r="B23" s="3">
        <v>13280</v>
      </c>
    </row>
    <row r="24" spans="1:2" ht="15.75" thickBot="1">
      <c r="A24" s="3">
        <v>0.113965789</v>
      </c>
      <c r="B24" s="3">
        <v>10010</v>
      </c>
    </row>
    <row r="25" spans="1:2" ht="15.75" thickBot="1">
      <c r="A25" s="3">
        <v>0.10340205199999999</v>
      </c>
      <c r="B25" s="3">
        <v>10080</v>
      </c>
    </row>
    <row r="26" spans="1:2" ht="15.75" thickBot="1">
      <c r="A26" s="3">
        <v>1.011082362</v>
      </c>
      <c r="B26" s="3">
        <v>7288</v>
      </c>
    </row>
    <row r="27" spans="1:2" ht="15.75" thickBot="1">
      <c r="A27" s="3">
        <v>1.107917638</v>
      </c>
      <c r="B27" s="3">
        <v>7986</v>
      </c>
    </row>
    <row r="28" spans="1:2" ht="15.75" thickBot="1">
      <c r="A28" s="3">
        <v>1.0328911759999999</v>
      </c>
      <c r="B28" s="3">
        <v>165552</v>
      </c>
    </row>
    <row r="29" spans="1:2" ht="15.75" thickBot="1">
      <c r="A29" s="3">
        <v>1.9472119800000001</v>
      </c>
      <c r="B29" s="3">
        <v>153651</v>
      </c>
    </row>
    <row r="30" spans="1:2" ht="15.75" thickBot="1">
      <c r="A30" s="3">
        <v>1.1775074759999999</v>
      </c>
      <c r="B30" s="3">
        <v>92915</v>
      </c>
    </row>
    <row r="31" spans="1:2" ht="15.75" thickBot="1">
      <c r="A31" s="3">
        <v>0.23025612300000001</v>
      </c>
      <c r="B31" s="3">
        <v>39264</v>
      </c>
    </row>
    <row r="32" spans="1:2" ht="15.75" thickBot="1">
      <c r="A32" s="3">
        <v>0.77462160999999996</v>
      </c>
      <c r="B32" s="3">
        <v>61124</v>
      </c>
    </row>
    <row r="33" spans="1:2" ht="15.75" thickBot="1">
      <c r="A33" s="3">
        <v>1.137511634</v>
      </c>
      <c r="B33" s="3">
        <v>89759</v>
      </c>
    </row>
    <row r="34" spans="1:2" ht="15.75" thickBot="1">
      <c r="A34" s="3">
        <v>2.814057193</v>
      </c>
      <c r="B34" s="3">
        <v>1061732</v>
      </c>
    </row>
    <row r="35" spans="1:2" ht="15.75" thickBot="1">
      <c r="A35" s="3">
        <v>0.29625560499999998</v>
      </c>
      <c r="B35" s="3">
        <v>111776</v>
      </c>
    </row>
    <row r="36" spans="1:2" ht="15.75" thickBot="1">
      <c r="A36" s="3">
        <v>9.0431660999999997E-2</v>
      </c>
      <c r="B36" s="3">
        <v>25944</v>
      </c>
    </row>
    <row r="37" spans="1:2" ht="15.75" thickBot="1">
      <c r="A37" s="3">
        <v>1.2255540000000001E-2</v>
      </c>
      <c r="B37" s="3">
        <v>3516</v>
      </c>
    </row>
    <row r="38" spans="1:2" ht="15.75" thickBot="1">
      <c r="A38" s="3">
        <v>10.388497644999999</v>
      </c>
      <c r="B38" s="3">
        <v>30312</v>
      </c>
    </row>
    <row r="39" spans="1:2" ht="15.75" thickBot="1">
      <c r="A39" s="3">
        <v>33.855151468999999</v>
      </c>
      <c r="B39" s="3">
        <v>98784</v>
      </c>
    </row>
    <row r="40" spans="1:2" ht="15.75" thickBot="1">
      <c r="A40" s="3">
        <v>11.185015591000001</v>
      </c>
      <c r="B40" s="3">
        <v>50669</v>
      </c>
    </row>
    <row r="41" spans="1:2" ht="15.75" thickBot="1">
      <c r="A41" s="3">
        <v>5.7169345629999997</v>
      </c>
      <c r="B41" s="3">
        <v>21936</v>
      </c>
    </row>
    <row r="42" spans="1:2" ht="15.75" thickBot="1">
      <c r="A42" s="3">
        <v>90.794126754000004</v>
      </c>
      <c r="B42" s="3">
        <v>190030</v>
      </c>
    </row>
    <row r="43" spans="1:2" ht="15.75" thickBot="1">
      <c r="A43" s="3">
        <v>32.891907983000003</v>
      </c>
      <c r="B43" s="3">
        <v>68842</v>
      </c>
    </row>
    <row r="44" spans="1:2" ht="15.75" thickBot="1">
      <c r="A44" s="3">
        <v>5.4451191129999996</v>
      </c>
      <c r="B44" s="3">
        <v>15888</v>
      </c>
    </row>
    <row r="45" spans="1:2" ht="15.75" thickBot="1">
      <c r="A45" s="3">
        <v>4.9212203629999998</v>
      </c>
      <c r="B45" s="3">
        <v>10300</v>
      </c>
    </row>
    <row r="46" spans="1:2" ht="15.75" thickBot="1">
      <c r="A46" s="3">
        <v>1.713594888</v>
      </c>
      <c r="B46" s="3">
        <v>5000</v>
      </c>
    </row>
    <row r="47" spans="1:2" ht="15.75" thickBot="1">
      <c r="A47" s="3">
        <v>3.7668836259999998</v>
      </c>
      <c r="B47" s="3">
        <v>7884</v>
      </c>
    </row>
    <row r="48" spans="1:2" ht="15.75" thickBot="1">
      <c r="A48" s="3">
        <v>7.3122521029999996</v>
      </c>
      <c r="B48" s="3">
        <v>21336</v>
      </c>
    </row>
    <row r="49" spans="1:2" ht="15.75" thickBot="1">
      <c r="A49" s="3">
        <v>11.788847387000001</v>
      </c>
      <c r="B49" s="3">
        <v>34398</v>
      </c>
    </row>
    <row r="50" spans="1:2" ht="15.75" thickBot="1">
      <c r="A50" s="3">
        <v>6.9147386859999997</v>
      </c>
      <c r="B50" s="3">
        <v>26532</v>
      </c>
    </row>
    <row r="51" spans="1:2" ht="15.75" thickBot="1">
      <c r="A51" s="3">
        <v>8.6974405739999998</v>
      </c>
      <c r="B51" s="3">
        <v>7770</v>
      </c>
    </row>
    <row r="52" spans="1:2" ht="15.75" thickBot="1">
      <c r="A52" s="3">
        <v>16.754845370000002</v>
      </c>
      <c r="B52" s="3">
        <v>48888</v>
      </c>
    </row>
    <row r="53" spans="1:2" ht="15.75" thickBot="1">
      <c r="A53" s="3">
        <v>8.0141250050000004</v>
      </c>
      <c r="B53" s="3">
        <v>7026</v>
      </c>
    </row>
    <row r="54" spans="1:2" ht="15.75" thickBot="1">
      <c r="A54" s="3">
        <v>1.2900286379999999</v>
      </c>
      <c r="B54" s="3">
        <v>2700</v>
      </c>
    </row>
    <row r="55" spans="1:2" ht="15.75" thickBot="1">
      <c r="A55" s="3">
        <v>41.742486016000001</v>
      </c>
      <c r="B55" s="3">
        <v>121798</v>
      </c>
    </row>
    <row r="56" spans="1:2" ht="15.75" thickBot="1">
      <c r="A56" s="3">
        <v>3.410979191</v>
      </c>
      <c r="B56" s="3">
        <v>13088</v>
      </c>
    </row>
    <row r="57" spans="1:2" ht="15.75" thickBot="1">
      <c r="A57" s="3">
        <v>11.365065755</v>
      </c>
      <c r="B57" s="3">
        <v>43608</v>
      </c>
    </row>
    <row r="58" spans="1:2" ht="15.75" thickBot="1">
      <c r="A58" s="3">
        <v>68.675145549000007</v>
      </c>
      <c r="B58" s="3">
        <v>263508</v>
      </c>
    </row>
    <row r="59" spans="1:2" ht="15.75" thickBot="1">
      <c r="A59" s="3">
        <v>111.283593732</v>
      </c>
      <c r="B59" s="3">
        <v>324708</v>
      </c>
    </row>
    <row r="60" spans="1:2" ht="15.75" thickBot="1">
      <c r="A60" s="3">
        <v>0.65816032700000004</v>
      </c>
      <c r="B60" s="3">
        <v>24400</v>
      </c>
    </row>
    <row r="61" spans="1:2" ht="15.75" thickBot="1">
      <c r="A61" s="3">
        <v>0.66571298700000003</v>
      </c>
      <c r="B61" s="3">
        <v>24680</v>
      </c>
    </row>
    <row r="62" spans="1:2" ht="15.75" thickBot="1">
      <c r="A62" s="3">
        <v>0.456126686</v>
      </c>
      <c r="B62" s="3">
        <v>16910</v>
      </c>
    </row>
    <row r="63" spans="1:2" ht="15.75" thickBot="1">
      <c r="A63" s="3">
        <v>7.6590314000000007E-2</v>
      </c>
      <c r="B63" s="3">
        <v>11695</v>
      </c>
    </row>
    <row r="64" spans="1:2" ht="15.75" thickBot="1">
      <c r="A64" s="3">
        <v>0.11595124499999999</v>
      </c>
      <c r="B64" s="3">
        <v>30312</v>
      </c>
    </row>
    <row r="65" spans="1:2" ht="15.75" thickBot="1">
      <c r="A65" s="3">
        <v>0.37787436699999999</v>
      </c>
      <c r="B65" s="3">
        <v>98784</v>
      </c>
    </row>
    <row r="66" spans="1:2" ht="15.75" thickBot="1">
      <c r="A66" s="3">
        <v>0.12914587499999999</v>
      </c>
      <c r="B66" s="3">
        <v>19720</v>
      </c>
    </row>
    <row r="67" spans="1:2" ht="15.75" thickBot="1">
      <c r="A67" s="3">
        <v>0.23970623199999999</v>
      </c>
      <c r="B67" s="3">
        <v>50669</v>
      </c>
    </row>
    <row r="68" spans="1:2" ht="15.75" thickBot="1">
      <c r="A68" s="3">
        <v>0.10914908800000001</v>
      </c>
      <c r="B68" s="3">
        <v>21936</v>
      </c>
    </row>
    <row r="69" spans="1:2" ht="15.75" thickBot="1">
      <c r="A69" s="3">
        <v>0.148857084</v>
      </c>
      <c r="B69" s="3">
        <v>26016</v>
      </c>
    </row>
    <row r="70" spans="1:2" ht="15.75" thickBot="1">
      <c r="A70" s="3">
        <v>0.51402635500000005</v>
      </c>
      <c r="B70" s="3">
        <v>76960</v>
      </c>
    </row>
    <row r="71" spans="1:2" ht="15.75" thickBot="1">
      <c r="A71" s="3">
        <v>0.76141671600000005</v>
      </c>
      <c r="B71" s="3">
        <v>111312</v>
      </c>
    </row>
    <row r="72" spans="1:2" ht="15.75" thickBot="1">
      <c r="A72" s="3">
        <v>0.55837793000000002</v>
      </c>
      <c r="B72" s="3">
        <v>190030</v>
      </c>
    </row>
    <row r="73" spans="1:2" ht="15.75" thickBot="1">
      <c r="A73" s="3">
        <v>0.202283079</v>
      </c>
      <c r="B73" s="3">
        <v>68842</v>
      </c>
    </row>
    <row r="74" spans="1:2" ht="15.75" thickBot="1">
      <c r="A74" s="3">
        <v>0.59738197999999998</v>
      </c>
      <c r="B74" s="3">
        <v>89440</v>
      </c>
    </row>
    <row r="75" spans="1:2" ht="15.75" thickBot="1">
      <c r="A75" s="3">
        <v>1.0775714279999999</v>
      </c>
      <c r="B75" s="3">
        <v>164880</v>
      </c>
    </row>
    <row r="76" spans="1:2" ht="15.75" thickBot="1">
      <c r="A76" s="3">
        <v>2.2983997079999998</v>
      </c>
      <c r="B76" s="3">
        <v>542180</v>
      </c>
    </row>
    <row r="77" spans="1:2" ht="15.75" thickBot="1">
      <c r="A77" s="3">
        <v>6.0775712000000003E-2</v>
      </c>
      <c r="B77" s="3">
        <v>15888</v>
      </c>
    </row>
    <row r="78" spans="1:2" ht="15.75" thickBot="1">
      <c r="A78" s="3">
        <v>3.0265183000000001E-2</v>
      </c>
      <c r="B78" s="3">
        <v>10300</v>
      </c>
    </row>
    <row r="79" spans="1:2" ht="15.75" thickBot="1">
      <c r="A79" s="3">
        <v>1.9126293999999999E-2</v>
      </c>
      <c r="B79" s="3">
        <v>5000</v>
      </c>
    </row>
    <row r="80" spans="1:2" ht="15.75" thickBot="1">
      <c r="A80" s="3">
        <v>2.3166088000000001E-2</v>
      </c>
      <c r="B80" s="3">
        <v>7884</v>
      </c>
    </row>
    <row r="81" spans="1:2" ht="15.75" thickBot="1">
      <c r="A81" s="3">
        <v>0.57093259900000004</v>
      </c>
      <c r="B81" s="3">
        <v>85480</v>
      </c>
    </row>
    <row r="82" spans="1:2" ht="15.75" thickBot="1">
      <c r="A82" s="3">
        <v>8.1615722000000002E-2</v>
      </c>
      <c r="B82" s="3">
        <v>21336</v>
      </c>
    </row>
    <row r="83" spans="1:2" ht="15.75" thickBot="1">
      <c r="A83" s="3">
        <v>1.577699645</v>
      </c>
      <c r="B83" s="3">
        <v>256992</v>
      </c>
    </row>
    <row r="84" spans="1:2" ht="15.75" thickBot="1">
      <c r="A84" s="3">
        <v>0.95852096099999995</v>
      </c>
      <c r="B84" s="3">
        <v>146664</v>
      </c>
    </row>
    <row r="85" spans="1:2" ht="15.75" thickBot="1">
      <c r="A85" s="3">
        <v>0.13158125300000001</v>
      </c>
      <c r="B85" s="3">
        <v>34398</v>
      </c>
    </row>
    <row r="86" spans="1:2" ht="15.75" thickBot="1">
      <c r="A86" s="3">
        <v>0.13201785099999999</v>
      </c>
      <c r="B86" s="3">
        <v>26532</v>
      </c>
    </row>
    <row r="87" spans="1:2" ht="15.75" thickBot="1">
      <c r="A87" s="3">
        <v>0.18700925299999999</v>
      </c>
      <c r="B87" s="3">
        <v>48888</v>
      </c>
    </row>
    <row r="88" spans="1:2" ht="15.75" thickBot="1">
      <c r="A88" s="3">
        <v>7.9335919999999997E-3</v>
      </c>
      <c r="B88" s="3">
        <v>2700</v>
      </c>
    </row>
    <row r="89" spans="1:2" ht="15.75" thickBot="1">
      <c r="A89" s="3">
        <v>0.465908873</v>
      </c>
      <c r="B89" s="3">
        <v>121798</v>
      </c>
    </row>
    <row r="90" spans="1:2" ht="15.75" thickBot="1">
      <c r="A90" s="3">
        <v>6.5123234000000002E-2</v>
      </c>
      <c r="B90" s="3">
        <v>13088</v>
      </c>
    </row>
    <row r="91" spans="1:2" ht="15.75" thickBot="1">
      <c r="A91" s="3">
        <v>0.21698456399999999</v>
      </c>
      <c r="B91" s="3">
        <v>43608</v>
      </c>
    </row>
    <row r="92" spans="1:2" ht="15.75" thickBot="1">
      <c r="A92" s="3">
        <v>0.133353267</v>
      </c>
      <c r="B92" s="3">
        <v>19495</v>
      </c>
    </row>
    <row r="93" spans="1:2" ht="15.75" thickBot="1">
      <c r="A93" s="3">
        <v>1.311162369</v>
      </c>
      <c r="B93" s="3">
        <v>263508</v>
      </c>
    </row>
    <row r="94" spans="1:2" ht="15.75" thickBot="1">
      <c r="A94" s="3">
        <v>1.2420921380000001</v>
      </c>
      <c r="B94" s="3">
        <v>324708</v>
      </c>
    </row>
    <row r="95" spans="1:2" ht="15.75" thickBot="1">
      <c r="A95" s="3">
        <v>0.66100000000000003</v>
      </c>
      <c r="B95" s="3">
        <v>7328</v>
      </c>
    </row>
    <row r="96" spans="1:2" ht="15.75" thickBot="1">
      <c r="A96" s="3">
        <v>1.9798267890000001</v>
      </c>
      <c r="B96" s="3">
        <v>7770</v>
      </c>
    </row>
    <row r="97" spans="1:2" ht="15.75" thickBot="1">
      <c r="A97" s="3">
        <v>1.8251732110000001</v>
      </c>
      <c r="B97" s="3">
        <v>7026</v>
      </c>
    </row>
    <row r="98" spans="1:2" ht="15.75" thickBot="1">
      <c r="A98" s="3">
        <v>8.2819139999999999E-2</v>
      </c>
      <c r="B98" s="3">
        <v>26016</v>
      </c>
    </row>
    <row r="99" spans="1:2" ht="15.75" thickBot="1">
      <c r="A99" s="3">
        <v>0.285013927</v>
      </c>
      <c r="B99" s="3">
        <v>76960</v>
      </c>
    </row>
    <row r="100" spans="1:2" ht="15.75" thickBot="1">
      <c r="A100" s="3">
        <v>0.42295230900000003</v>
      </c>
      <c r="B100" s="3">
        <v>111312</v>
      </c>
    </row>
    <row r="101" spans="1:2" ht="15.75" thickBot="1">
      <c r="A101" s="3">
        <v>0.33123240199999998</v>
      </c>
      <c r="B101" s="3">
        <v>89440</v>
      </c>
    </row>
    <row r="102" spans="1:2" ht="15.75" thickBot="1">
      <c r="A102" s="3">
        <v>0.59802146</v>
      </c>
      <c r="B102" s="3">
        <v>164880</v>
      </c>
    </row>
    <row r="103" spans="1:2" ht="15.75" thickBot="1">
      <c r="A103" s="3">
        <v>0.31656692400000003</v>
      </c>
      <c r="B103" s="3">
        <v>85480</v>
      </c>
    </row>
    <row r="104" spans="1:2" ht="15.75" thickBot="1">
      <c r="A104" s="3">
        <v>0.87036682799999998</v>
      </c>
      <c r="B104" s="3">
        <v>256992</v>
      </c>
    </row>
    <row r="105" spans="1:2" ht="15.75" thickBot="1">
      <c r="A105" s="3">
        <v>0.53195183999999995</v>
      </c>
      <c r="B105" s="3">
        <v>146664</v>
      </c>
    </row>
    <row r="106" spans="1:2" ht="15.75" thickBot="1">
      <c r="A106" s="3">
        <v>7.4075169999999996E-2</v>
      </c>
      <c r="B106" s="3">
        <v>19495</v>
      </c>
    </row>
    <row r="107" spans="1:2" ht="15.75" thickBot="1">
      <c r="A107" s="3">
        <v>1.1623458999999999E-2</v>
      </c>
      <c r="B107" s="3">
        <v>3650</v>
      </c>
    </row>
    <row r="108" spans="1:2" ht="15.75" thickBot="1">
      <c r="A108" s="3">
        <v>1.519011E-2</v>
      </c>
      <c r="B108" s="3">
        <v>4770</v>
      </c>
    </row>
    <row r="109" spans="1:2" ht="15.75" thickBot="1">
      <c r="A109" s="3">
        <v>2.9584091999999999E-2</v>
      </c>
      <c r="B109" s="3">
        <v>9290</v>
      </c>
    </row>
    <row r="110" spans="1:2" ht="15.75" thickBot="1">
      <c r="A110" s="3">
        <v>4.6875977999999999E-2</v>
      </c>
      <c r="B110" s="3">
        <v>14720</v>
      </c>
    </row>
    <row r="111" spans="1:2" ht="15.75" thickBot="1">
      <c r="A111" s="3">
        <v>0.20148627299999999</v>
      </c>
      <c r="B111" s="3">
        <v>65714</v>
      </c>
    </row>
    <row r="112" spans="1:2" ht="15.75" thickBot="1">
      <c r="A112" s="3">
        <v>2.9615936999999998E-2</v>
      </c>
      <c r="B112" s="3">
        <v>9300</v>
      </c>
    </row>
    <row r="113" spans="1:2" ht="15.75" thickBot="1">
      <c r="A113" s="3">
        <v>0.11228703600000001</v>
      </c>
      <c r="B113" s="3">
        <v>36622</v>
      </c>
    </row>
    <row r="114" spans="1:2" ht="15.75" thickBot="1">
      <c r="A114" s="3">
        <v>5.1397982000000002E-2</v>
      </c>
      <c r="B114" s="3">
        <v>16140</v>
      </c>
    </row>
    <row r="115" spans="1:2" ht="15.75" thickBot="1">
      <c r="A115" s="3">
        <v>6.8880938000000003E-2</v>
      </c>
      <c r="B115" s="3">
        <v>21630</v>
      </c>
    </row>
    <row r="116" spans="1:2" ht="15.75" thickBot="1">
      <c r="A116" s="3">
        <v>6.5498988999999994E-2</v>
      </c>
      <c r="B116" s="3">
        <v>20568</v>
      </c>
    </row>
    <row r="117" spans="1:2" ht="15.75" thickBot="1">
      <c r="A117" s="3">
        <v>3.9742680000000004E-3</v>
      </c>
      <c r="B117" s="3">
        <v>1248</v>
      </c>
    </row>
    <row r="118" spans="1:2" ht="15.75" thickBot="1">
      <c r="A118" s="3">
        <v>0.27502995899999999</v>
      </c>
      <c r="B118" s="3">
        <v>89700</v>
      </c>
    </row>
    <row r="119" spans="1:2" ht="15.75" thickBot="1">
      <c r="A119" s="3">
        <v>1.8119783190000001</v>
      </c>
      <c r="B119" s="3">
        <v>590970</v>
      </c>
    </row>
    <row r="120" spans="1:2" ht="15.75" thickBot="1">
      <c r="A120" s="3">
        <v>0.50670514</v>
      </c>
      <c r="B120" s="3">
        <v>165260</v>
      </c>
    </row>
    <row r="121" spans="1:2" ht="15.75" thickBot="1">
      <c r="A121" s="3">
        <v>1.130596959</v>
      </c>
      <c r="B121" s="3">
        <v>368740</v>
      </c>
    </row>
    <row r="122" spans="1:2" ht="15.75" thickBot="1">
      <c r="A122" s="3">
        <v>0.56060733299999999</v>
      </c>
      <c r="B122" s="3">
        <v>182840</v>
      </c>
    </row>
    <row r="123" spans="1:2" ht="15.75" thickBot="1">
      <c r="A123" s="3">
        <v>0.23872723000000001</v>
      </c>
      <c r="B123" s="3">
        <v>77860</v>
      </c>
    </row>
    <row r="124" spans="1:2" ht="15.75" thickBot="1">
      <c r="A124" s="3">
        <v>0.48713110100000001</v>
      </c>
      <c r="B124" s="3">
        <v>158876</v>
      </c>
    </row>
    <row r="125" spans="1:2" ht="15.75" thickBot="1">
      <c r="A125" s="3">
        <v>0.10510621000000001</v>
      </c>
      <c r="B125" s="3">
        <v>34280</v>
      </c>
    </row>
    <row r="126" spans="1:2" ht="15.75" thickBot="1">
      <c r="A126" s="3">
        <v>6.1690109E-2</v>
      </c>
      <c r="B126" s="3">
        <v>20120</v>
      </c>
    </row>
    <row r="127" spans="1:2" ht="15.75" thickBot="1">
      <c r="A127" s="3">
        <v>6.2425975000000002E-2</v>
      </c>
      <c r="B127" s="3">
        <v>20360</v>
      </c>
    </row>
    <row r="128" spans="1:2" ht="15.75" thickBot="1">
      <c r="A128" s="3">
        <v>8.0822627999999994E-2</v>
      </c>
      <c r="B128" s="3">
        <v>26360</v>
      </c>
    </row>
    <row r="129" spans="1:2" ht="15.75" thickBot="1">
      <c r="A129" s="3">
        <v>3.8669765000000002E-2</v>
      </c>
      <c r="B129" s="3">
        <v>12612</v>
      </c>
    </row>
    <row r="130" spans="1:2" ht="15.75" thickBot="1">
      <c r="A130" s="3">
        <v>6.5124150000000006E-2</v>
      </c>
      <c r="B130" s="3">
        <v>21240</v>
      </c>
    </row>
    <row r="131" spans="1:2" ht="15.75" thickBot="1">
      <c r="A131" s="3">
        <v>9.4006894999999993E-2</v>
      </c>
      <c r="B131" s="3">
        <v>30660</v>
      </c>
    </row>
    <row r="132" spans="1:2" ht="15.75" thickBot="1">
      <c r="A132" s="3">
        <v>0.34266832000000003</v>
      </c>
      <c r="B132" s="3">
        <v>111760</v>
      </c>
    </row>
    <row r="133" spans="1:2" ht="15.75" thickBot="1">
      <c r="A133" s="3">
        <v>0.152140319</v>
      </c>
      <c r="B133" s="3">
        <v>49620</v>
      </c>
    </row>
    <row r="134" spans="1:2" ht="15.75" thickBot="1">
      <c r="A134" s="3">
        <v>0.28257258800000001</v>
      </c>
      <c r="B134" s="3">
        <v>92160</v>
      </c>
    </row>
    <row r="135" spans="1:2" ht="15.75" thickBot="1">
      <c r="A135" s="3">
        <v>0.20151693400000001</v>
      </c>
      <c r="B135" s="3">
        <v>65724</v>
      </c>
    </row>
    <row r="136" spans="1:2" ht="15.75" thickBot="1">
      <c r="A136" s="3">
        <v>0.129769989</v>
      </c>
      <c r="B136" s="3">
        <v>42324</v>
      </c>
    </row>
    <row r="137" spans="1:2" ht="15.75" thickBot="1">
      <c r="A137" s="3">
        <v>4.4556693000000001E-2</v>
      </c>
      <c r="B137" s="3">
        <v>14532</v>
      </c>
    </row>
    <row r="138" spans="1:2" ht="15.75" thickBot="1">
      <c r="A138" s="3">
        <v>5.7348498999999997E-2</v>
      </c>
      <c r="B138" s="3">
        <v>18704</v>
      </c>
    </row>
    <row r="139" spans="1:2" ht="15.75" thickBot="1">
      <c r="A139" s="3">
        <v>5.5656007E-2</v>
      </c>
      <c r="B139" s="3">
        <v>18152</v>
      </c>
    </row>
    <row r="140" spans="1:2" ht="15.75" thickBot="1">
      <c r="A140" s="3">
        <v>0.104542046</v>
      </c>
      <c r="B140" s="3">
        <v>34096</v>
      </c>
    </row>
    <row r="141" spans="1:2" ht="15.75" thickBot="1">
      <c r="A141" s="3">
        <v>0.13319176599999999</v>
      </c>
      <c r="B141" s="3">
        <v>43440</v>
      </c>
    </row>
    <row r="142" spans="1:2" ht="15.75" thickBot="1">
      <c r="A142" s="3">
        <v>0.234359187</v>
      </c>
      <c r="B142" s="3">
        <v>74880</v>
      </c>
    </row>
    <row r="143" spans="1:2" ht="15.75" thickBot="1">
      <c r="A143" s="3">
        <v>0.30331487099999999</v>
      </c>
      <c r="B143" s="3">
        <v>96912</v>
      </c>
    </row>
    <row r="144" spans="1:2" ht="15.75" thickBot="1">
      <c r="A144" s="3">
        <v>4.7848331000000001E-2</v>
      </c>
      <c r="B144" s="3">
        <v>13496</v>
      </c>
    </row>
    <row r="145" spans="1:2" ht="15.75" thickBot="1">
      <c r="A145" s="3">
        <v>7.5644042999999994E-2</v>
      </c>
      <c r="B145" s="3">
        <v>21336</v>
      </c>
    </row>
    <row r="146" spans="1:2" ht="15.75" thickBot="1">
      <c r="A146" s="3">
        <v>4.7323615999999999E-2</v>
      </c>
      <c r="B146" s="3">
        <v>13348</v>
      </c>
    </row>
    <row r="147" spans="1:2" ht="15.75" thickBot="1">
      <c r="A147" s="3">
        <v>9.2179659999999993E-3</v>
      </c>
      <c r="B147" s="3">
        <v>2600</v>
      </c>
    </row>
    <row r="148" spans="1:2" ht="15.75" thickBot="1">
      <c r="A148" s="3">
        <v>5.1336969999999996E-3</v>
      </c>
      <c r="B148" s="3">
        <v>1448</v>
      </c>
    </row>
    <row r="149" spans="1:2" ht="15.75" thickBot="1">
      <c r="A149" s="3">
        <v>9.8419509999999998E-3</v>
      </c>
      <c r="B149" s="3">
        <v>2776</v>
      </c>
    </row>
    <row r="150" spans="1:2" ht="15.75" thickBot="1">
      <c r="A150" s="3">
        <v>5.1053339999999996E-3</v>
      </c>
      <c r="B150" s="3">
        <v>1440</v>
      </c>
    </row>
    <row r="151" spans="1:2" ht="15.75" thickBot="1">
      <c r="A151" s="3">
        <v>7.2492208000000002E-2</v>
      </c>
      <c r="B151" s="3">
        <v>20447</v>
      </c>
    </row>
    <row r="152" spans="1:2" ht="15.75" thickBot="1">
      <c r="A152" s="3">
        <v>0.189240036</v>
      </c>
      <c r="B152" s="3">
        <v>60464</v>
      </c>
    </row>
    <row r="153" spans="1:2" ht="15.75" thickBot="1">
      <c r="A153" s="3">
        <v>0.13729766099999999</v>
      </c>
      <c r="B153" s="3">
        <v>40048</v>
      </c>
    </row>
    <row r="154" spans="1:2" ht="15.75" thickBot="1">
      <c r="A154" s="3">
        <v>0.19187549800000001</v>
      </c>
      <c r="B154" s="3">
        <v>54120</v>
      </c>
    </row>
    <row r="155" spans="1:2" ht="15.75" thickBot="1">
      <c r="A155" s="3">
        <v>0.132964256</v>
      </c>
      <c r="B155" s="3">
        <v>38784</v>
      </c>
    </row>
    <row r="156" spans="1:2" ht="15.75" thickBot="1">
      <c r="A156" s="3">
        <v>0.44592632100000001</v>
      </c>
      <c r="B156" s="3">
        <v>139776</v>
      </c>
    </row>
    <row r="157" spans="1:2" ht="15.75" thickBot="1">
      <c r="A157" s="3">
        <v>0.30341502399999998</v>
      </c>
      <c r="B157" s="3">
        <v>96944</v>
      </c>
    </row>
    <row r="158" spans="1:2" ht="15.75" thickBot="1">
      <c r="A158" s="3">
        <v>0.19681965100000001</v>
      </c>
      <c r="B158" s="3">
        <v>3650</v>
      </c>
    </row>
    <row r="159" spans="1:2" ht="15.75" thickBot="1">
      <c r="A159" s="3">
        <v>0.257213627</v>
      </c>
      <c r="B159" s="3">
        <v>4770</v>
      </c>
    </row>
    <row r="160" spans="1:2" ht="15.75" thickBot="1">
      <c r="A160" s="3">
        <v>0.50094645500000001</v>
      </c>
      <c r="B160" s="3">
        <v>9290</v>
      </c>
    </row>
    <row r="161" spans="1:2" ht="15.75" thickBot="1">
      <c r="A161" s="3">
        <v>0.79374938900000003</v>
      </c>
      <c r="B161" s="3">
        <v>14720</v>
      </c>
    </row>
    <row r="162" spans="1:2" ht="15.75" thickBot="1">
      <c r="A162" s="3">
        <v>3.3892546289999999</v>
      </c>
      <c r="B162" s="3">
        <v>51486</v>
      </c>
    </row>
    <row r="163" spans="1:2" ht="15.75" thickBot="1">
      <c r="A163" s="3">
        <v>4.1495757050000002</v>
      </c>
      <c r="B163" s="3">
        <v>63036</v>
      </c>
    </row>
    <row r="164" spans="1:2" ht="15.75" thickBot="1">
      <c r="A164" s="3">
        <v>3.7810668409999999</v>
      </c>
      <c r="B164" s="3">
        <v>57438</v>
      </c>
    </row>
    <row r="165" spans="1:2" ht="15.75" thickBot="1">
      <c r="A165" s="3">
        <v>0.245570606</v>
      </c>
      <c r="B165" s="3">
        <v>7288</v>
      </c>
    </row>
    <row r="166" spans="1:2" ht="15.75" thickBot="1">
      <c r="A166" s="3">
        <v>0.26908985400000002</v>
      </c>
      <c r="B166" s="3">
        <v>7986</v>
      </c>
    </row>
    <row r="167" spans="1:2" ht="15.75" thickBot="1">
      <c r="A167" s="3">
        <v>3.8399293640000001</v>
      </c>
      <c r="B167" s="3">
        <v>74880</v>
      </c>
    </row>
    <row r="168" spans="1:2" ht="15.75" thickBot="1">
      <c r="A168" s="3">
        <v>4.9697547330000003</v>
      </c>
      <c r="B168" s="3">
        <v>96912</v>
      </c>
    </row>
    <row r="169" spans="1:2" ht="15.75" thickBot="1">
      <c r="A169" s="3">
        <v>3.4119216940000001</v>
      </c>
      <c r="B169" s="3">
        <v>65714</v>
      </c>
    </row>
    <row r="170" spans="1:2" ht="15.75" thickBot="1">
      <c r="A170" s="3">
        <v>0.50148568699999996</v>
      </c>
      <c r="B170" s="3">
        <v>9300</v>
      </c>
    </row>
    <row r="171" spans="1:2" ht="15.75" thickBot="1">
      <c r="A171" s="3">
        <v>1.9014425580000001</v>
      </c>
      <c r="B171" s="3">
        <v>36622</v>
      </c>
    </row>
    <row r="172" spans="1:2" ht="15.75" thickBot="1">
      <c r="A172" s="3">
        <v>0.87032032199999998</v>
      </c>
      <c r="B172" s="3">
        <v>16140</v>
      </c>
    </row>
    <row r="173" spans="1:2" ht="15.75" thickBot="1">
      <c r="A173" s="3">
        <v>1.166358647</v>
      </c>
      <c r="B173" s="3">
        <v>21630</v>
      </c>
    </row>
    <row r="174" spans="1:2" ht="15.75" thickBot="1">
      <c r="A174" s="3">
        <v>1.1090922169999999</v>
      </c>
      <c r="B174" s="3">
        <v>20568</v>
      </c>
    </row>
    <row r="175" spans="1:2" ht="15.75" thickBot="1">
      <c r="A175" s="3">
        <v>0.75582720400000003</v>
      </c>
      <c r="B175" s="3">
        <v>13496</v>
      </c>
    </row>
    <row r="176" spans="1:2" ht="15.75" thickBot="1">
      <c r="A176" s="3">
        <v>1.1948969490000001</v>
      </c>
      <c r="B176" s="3">
        <v>21336</v>
      </c>
    </row>
    <row r="177" spans="1:2" ht="15.75" thickBot="1">
      <c r="A177" s="3">
        <v>0.74753864199999998</v>
      </c>
      <c r="B177" s="3">
        <v>13348</v>
      </c>
    </row>
    <row r="178" spans="1:2" ht="15.75" thickBot="1">
      <c r="A178" s="3">
        <v>0.85326802599999996</v>
      </c>
      <c r="B178" s="3">
        <v>26016</v>
      </c>
    </row>
    <row r="179" spans="1:2" ht="15.75" thickBot="1">
      <c r="A179" s="3">
        <v>0.145609865</v>
      </c>
      <c r="B179" s="3">
        <v>2600</v>
      </c>
    </row>
    <row r="180" spans="1:2" ht="15.75" thickBot="1">
      <c r="A180" s="3">
        <v>2.9531668280000001</v>
      </c>
      <c r="B180" s="3">
        <v>76960</v>
      </c>
    </row>
    <row r="181" spans="1:2" ht="15.75" thickBot="1">
      <c r="A181" s="3">
        <v>4.378785079</v>
      </c>
      <c r="B181" s="3">
        <v>111312</v>
      </c>
    </row>
    <row r="182" spans="1:2" ht="15.75" thickBot="1">
      <c r="A182" s="3">
        <v>8.1093494000000002E-2</v>
      </c>
      <c r="B182" s="3">
        <v>1448</v>
      </c>
    </row>
    <row r="183" spans="1:2" ht="15.75" thickBot="1">
      <c r="A183" s="3">
        <v>0.15546653199999999</v>
      </c>
      <c r="B183" s="3">
        <v>2776</v>
      </c>
    </row>
    <row r="184" spans="1:2" ht="15.75" thickBot="1">
      <c r="A184" s="3">
        <v>8.0645463000000001E-2</v>
      </c>
      <c r="B184" s="3">
        <v>1440</v>
      </c>
    </row>
    <row r="185" spans="1:2" ht="15.75" thickBot="1">
      <c r="A185" s="3">
        <v>1.1451095760000001</v>
      </c>
      <c r="B185" s="3">
        <v>20447</v>
      </c>
    </row>
    <row r="186" spans="1:2" ht="15.75" thickBot="1">
      <c r="A186" s="3">
        <v>3.1006609119999999</v>
      </c>
      <c r="B186" s="3">
        <v>60464</v>
      </c>
    </row>
    <row r="187" spans="1:2" ht="15.75" thickBot="1">
      <c r="A187" s="3">
        <v>6.7296144000000002E-2</v>
      </c>
      <c r="B187" s="3">
        <v>1248</v>
      </c>
    </row>
    <row r="188" spans="1:2" ht="15.75" thickBot="1">
      <c r="A188" s="3">
        <v>3.4320587470000001</v>
      </c>
      <c r="B188" s="3">
        <v>89440</v>
      </c>
    </row>
    <row r="189" spans="1:2" ht="15.75" thickBot="1">
      <c r="A189" s="3">
        <v>6.2048100399999999</v>
      </c>
      <c r="B189" s="3">
        <v>164880</v>
      </c>
    </row>
    <row r="190" spans="1:2" ht="15.75" thickBot="1">
      <c r="A190" s="3">
        <v>2.2525580239999998</v>
      </c>
      <c r="B190" s="3">
        <v>40048</v>
      </c>
    </row>
    <row r="191" spans="1:2" ht="15.75" thickBot="1">
      <c r="A191" s="3">
        <v>3.0309253319999998</v>
      </c>
      <c r="B191" s="3">
        <v>54120</v>
      </c>
    </row>
    <row r="192" spans="1:2" ht="15.75" thickBot="1">
      <c r="A192" s="3">
        <v>2.1814625059999999</v>
      </c>
      <c r="B192" s="3">
        <v>38784</v>
      </c>
    </row>
    <row r="193" spans="1:2" ht="15.75" thickBot="1">
      <c r="A193" s="3">
        <v>4.6572933599999997</v>
      </c>
      <c r="B193" s="3">
        <v>89700</v>
      </c>
    </row>
    <row r="194" spans="1:2" ht="15.75" thickBot="1">
      <c r="A194" s="3">
        <v>30.683619362000002</v>
      </c>
      <c r="B194" s="3">
        <v>590970</v>
      </c>
    </row>
    <row r="195" spans="1:2" ht="15.75" thickBot="1">
      <c r="A195" s="3">
        <v>8.5804269850000008</v>
      </c>
      <c r="B195" s="3">
        <v>165260</v>
      </c>
    </row>
    <row r="196" spans="1:2" ht="15.75" thickBot="1">
      <c r="A196" s="3">
        <v>19.145265925</v>
      </c>
      <c r="B196" s="3">
        <v>368740</v>
      </c>
    </row>
    <row r="197" spans="1:2" ht="15.75" thickBot="1">
      <c r="A197" s="3">
        <v>9.4931941789999996</v>
      </c>
      <c r="B197" s="3">
        <v>182840</v>
      </c>
    </row>
    <row r="198" spans="1:2" ht="15.75" thickBot="1">
      <c r="A198" s="3">
        <v>4.0425514050000002</v>
      </c>
      <c r="B198" s="3">
        <v>77860</v>
      </c>
    </row>
    <row r="199" spans="1:2" ht="15.75" thickBot="1">
      <c r="A199" s="3">
        <v>8.2489647690000005</v>
      </c>
      <c r="B199" s="3">
        <v>158876</v>
      </c>
    </row>
    <row r="200" spans="1:2" ht="15.75" thickBot="1">
      <c r="A200" s="3">
        <v>3.280102657</v>
      </c>
      <c r="B200" s="3">
        <v>85480</v>
      </c>
    </row>
    <row r="201" spans="1:2" ht="15.75" thickBot="1">
      <c r="A201" s="3">
        <v>1.779844107</v>
      </c>
      <c r="B201" s="3">
        <v>34280</v>
      </c>
    </row>
    <row r="202" spans="1:2" ht="15.75" thickBot="1">
      <c r="A202" s="3">
        <v>1.044645957</v>
      </c>
      <c r="B202" s="3">
        <v>20120</v>
      </c>
    </row>
    <row r="203" spans="1:2" ht="15.75" thickBot="1">
      <c r="A203" s="3">
        <v>1.057106943</v>
      </c>
      <c r="B203" s="3">
        <v>20360</v>
      </c>
    </row>
    <row r="204" spans="1:2" ht="15.75" thickBot="1">
      <c r="A204" s="3">
        <v>1.368631583</v>
      </c>
      <c r="B204" s="3">
        <v>26360</v>
      </c>
    </row>
    <row r="205" spans="1:2" ht="15.75" thickBot="1">
      <c r="A205" s="3">
        <v>0.65482479299999996</v>
      </c>
      <c r="B205" s="3">
        <v>12612</v>
      </c>
    </row>
    <row r="206" spans="1:2" ht="15.75" thickBot="1">
      <c r="A206" s="3">
        <v>1.102797223</v>
      </c>
      <c r="B206" s="3">
        <v>21240</v>
      </c>
    </row>
    <row r="207" spans="1:2" ht="15.75" thickBot="1">
      <c r="A207" s="3">
        <v>1.5918909080000001</v>
      </c>
      <c r="B207" s="3">
        <v>30660</v>
      </c>
    </row>
    <row r="208" spans="1:2" ht="15.75" thickBot="1">
      <c r="A208" s="3">
        <v>9.0485894160000004</v>
      </c>
      <c r="B208" s="3">
        <v>256992</v>
      </c>
    </row>
    <row r="209" spans="1:2" ht="15.75" thickBot="1">
      <c r="A209" s="3">
        <v>5.5193004590000001</v>
      </c>
      <c r="B209" s="3">
        <v>146664</v>
      </c>
    </row>
    <row r="210" spans="1:2" ht="15.75" thickBot="1">
      <c r="A210" s="3">
        <v>5.8026656179999998</v>
      </c>
      <c r="B210" s="3">
        <v>111760</v>
      </c>
    </row>
    <row r="211" spans="1:2" ht="15.75" thickBot="1">
      <c r="A211" s="3">
        <v>7.4105196429999998</v>
      </c>
      <c r="B211" s="3">
        <v>139776</v>
      </c>
    </row>
    <row r="212" spans="1:2" ht="15.75" thickBot="1">
      <c r="A212" s="3">
        <v>7.7159098420000003</v>
      </c>
      <c r="B212" s="3">
        <v>117785</v>
      </c>
    </row>
    <row r="213" spans="1:2" ht="15.75" thickBot="1">
      <c r="A213" s="3">
        <v>3.0316708619999999</v>
      </c>
      <c r="B213" s="3">
        <v>29904</v>
      </c>
    </row>
    <row r="214" spans="1:2" ht="15.75" thickBot="1">
      <c r="A214" s="3">
        <v>2.5763087690000002</v>
      </c>
      <c r="B214" s="3">
        <v>49620</v>
      </c>
    </row>
    <row r="215" spans="1:2" ht="15.75" thickBot="1">
      <c r="A215" s="3">
        <v>4.785018462</v>
      </c>
      <c r="B215" s="3">
        <v>92160</v>
      </c>
    </row>
    <row r="216" spans="1:2" ht="15.75" thickBot="1">
      <c r="A216" s="3">
        <v>3.4124409010000001</v>
      </c>
      <c r="B216" s="3">
        <v>65724</v>
      </c>
    </row>
    <row r="217" spans="1:2" ht="15.75" thickBot="1">
      <c r="A217" s="3">
        <v>2.1974948059999999</v>
      </c>
      <c r="B217" s="3">
        <v>42324</v>
      </c>
    </row>
    <row r="218" spans="1:2" ht="15.75" thickBot="1">
      <c r="A218" s="3">
        <v>0.75451267700000002</v>
      </c>
      <c r="B218" s="3">
        <v>14532</v>
      </c>
    </row>
    <row r="219" spans="1:2" ht="15.75" thickBot="1">
      <c r="A219" s="3">
        <v>0.97112614200000003</v>
      </c>
      <c r="B219" s="3">
        <v>18704</v>
      </c>
    </row>
    <row r="220" spans="1:2" ht="15.75" thickBot="1">
      <c r="A220" s="3">
        <v>0.94246587699999995</v>
      </c>
      <c r="B220" s="3">
        <v>18152</v>
      </c>
    </row>
    <row r="221" spans="1:2" ht="15.75" thickBot="1">
      <c r="A221" s="3">
        <v>13.048735561999999</v>
      </c>
      <c r="B221" s="3">
        <v>128711</v>
      </c>
    </row>
    <row r="222" spans="1:2" ht="15.75" thickBot="1">
      <c r="A222" s="3">
        <v>1.7702906839999999</v>
      </c>
      <c r="B222" s="3">
        <v>34096</v>
      </c>
    </row>
    <row r="223" spans="1:2" ht="15.75" thickBot="1">
      <c r="A223" s="3">
        <v>2.2554383900000001</v>
      </c>
      <c r="B223" s="3">
        <v>43440</v>
      </c>
    </row>
    <row r="224" spans="1:2" ht="15.75" thickBot="1">
      <c r="A224" s="3">
        <v>12.531291473</v>
      </c>
      <c r="B224" s="3">
        <v>123607</v>
      </c>
    </row>
    <row r="225" spans="1:2" ht="15.75" thickBot="1">
      <c r="A225" s="3">
        <v>0.76689319300000003</v>
      </c>
      <c r="B225" s="3">
        <v>19495</v>
      </c>
    </row>
    <row r="226" spans="1:2" ht="15.75" thickBot="1">
      <c r="A226" s="3">
        <v>4.9713957290000002</v>
      </c>
      <c r="B226" s="3">
        <v>96944</v>
      </c>
    </row>
    <row r="227" spans="1:2" ht="15.75" thickBot="1">
      <c r="A227" s="3">
        <v>0.19493613000000001</v>
      </c>
      <c r="B227" s="3">
        <v>30312</v>
      </c>
    </row>
    <row r="228" spans="1:2" ht="15.75" thickBot="1">
      <c r="A228" s="3">
        <v>0.63527878900000001</v>
      </c>
      <c r="B228" s="3">
        <v>98784</v>
      </c>
    </row>
    <row r="229" spans="1:2" ht="15.75" thickBot="1">
      <c r="A229" s="3">
        <v>7.8401094000000005E-2</v>
      </c>
      <c r="B229" s="3">
        <v>50669</v>
      </c>
    </row>
    <row r="230" spans="1:2" ht="15.75" thickBot="1">
      <c r="A230" s="3">
        <v>0.47248371</v>
      </c>
      <c r="B230" s="3">
        <v>165552</v>
      </c>
    </row>
    <row r="231" spans="1:2" ht="15.75" thickBot="1">
      <c r="A231" s="3">
        <v>3.5528641999999999E-2</v>
      </c>
      <c r="B231" s="3">
        <v>21936</v>
      </c>
    </row>
    <row r="232" spans="1:2" ht="15.75" thickBot="1">
      <c r="A232" s="3">
        <v>0.87211157699999997</v>
      </c>
      <c r="B232" s="3">
        <v>153651</v>
      </c>
    </row>
    <row r="233" spans="1:2" ht="15.75" thickBot="1">
      <c r="A233" s="3">
        <v>0.93394929299999996</v>
      </c>
      <c r="B233" s="3">
        <v>190030</v>
      </c>
    </row>
    <row r="234" spans="1:2" ht="15.75" thickBot="1">
      <c r="A234" s="3">
        <v>0.33834098400000001</v>
      </c>
      <c r="B234" s="3">
        <v>68842</v>
      </c>
    </row>
    <row r="235" spans="1:2" ht="15.75" thickBot="1">
      <c r="A235" s="3">
        <v>0.102175549</v>
      </c>
      <c r="B235" s="3">
        <v>15888</v>
      </c>
    </row>
    <row r="236" spans="1:2" ht="15.75" thickBot="1">
      <c r="A236" s="3">
        <v>5.0621889000000003E-2</v>
      </c>
      <c r="B236" s="3">
        <v>10300</v>
      </c>
    </row>
    <row r="237" spans="1:2" ht="15.75" thickBot="1">
      <c r="A237" s="3">
        <v>3.2154943999999998E-2</v>
      </c>
      <c r="B237" s="3">
        <v>5000</v>
      </c>
    </row>
    <row r="238" spans="1:2" ht="15.75" thickBot="1">
      <c r="A238" s="3">
        <v>3.8747862000000001E-2</v>
      </c>
      <c r="B238" s="3">
        <v>7884</v>
      </c>
    </row>
    <row r="239" spans="1:2" ht="15.75" thickBot="1">
      <c r="A239" s="3">
        <v>0.137211575</v>
      </c>
      <c r="B239" s="3">
        <v>21336</v>
      </c>
    </row>
    <row r="240" spans="1:2" ht="15.75" thickBot="1">
      <c r="A240" s="3">
        <v>0.22121315</v>
      </c>
      <c r="B240" s="3">
        <v>34398</v>
      </c>
    </row>
    <row r="241" spans="1:2" ht="15.75" thickBot="1">
      <c r="A241" s="3">
        <v>4.2972555000000003E-2</v>
      </c>
      <c r="B241" s="3">
        <v>26532</v>
      </c>
    </row>
    <row r="242" spans="1:2" ht="15.75" thickBot="1">
      <c r="A242" s="3">
        <v>0.52737858699999995</v>
      </c>
      <c r="B242" s="3">
        <v>92915</v>
      </c>
    </row>
    <row r="243" spans="1:2" ht="15.75" thickBot="1">
      <c r="A243" s="3">
        <v>0.31439817599999997</v>
      </c>
      <c r="B243" s="3">
        <v>48888</v>
      </c>
    </row>
    <row r="244" spans="1:2" ht="15.75" thickBot="1">
      <c r="A244" s="3">
        <v>0.100676591</v>
      </c>
      <c r="B244" s="3">
        <v>39264</v>
      </c>
    </row>
    <row r="245" spans="1:2" ht="15.75" thickBot="1">
      <c r="A245" s="3">
        <v>0.22674504600000001</v>
      </c>
      <c r="B245" s="3">
        <v>117785</v>
      </c>
    </row>
    <row r="246" spans="1:2" ht="15.75" thickBot="1">
      <c r="A246" s="3">
        <v>1.3269816E-2</v>
      </c>
      <c r="B246" s="3">
        <v>2700</v>
      </c>
    </row>
    <row r="247" spans="1:2" ht="15.75" thickBot="1">
      <c r="A247" s="3">
        <v>8.7936545000000005E-2</v>
      </c>
      <c r="B247" s="3">
        <v>29904</v>
      </c>
    </row>
    <row r="248" spans="1:2" ht="15.75" thickBot="1">
      <c r="A248" s="3">
        <v>0.37849119199999998</v>
      </c>
      <c r="B248" s="3">
        <v>128711</v>
      </c>
    </row>
    <row r="249" spans="1:2" ht="15.75" thickBot="1">
      <c r="A249" s="3">
        <v>0.34693524999999997</v>
      </c>
      <c r="B249" s="3">
        <v>61124</v>
      </c>
    </row>
    <row r="250" spans="1:2" ht="15.75" thickBot="1">
      <c r="A250" s="3">
        <v>0.78328156400000004</v>
      </c>
      <c r="B250" s="3">
        <v>121798</v>
      </c>
    </row>
    <row r="251" spans="1:2" ht="15.75" thickBot="1">
      <c r="A251" s="3">
        <v>0.36348222699999999</v>
      </c>
      <c r="B251" s="3">
        <v>123607</v>
      </c>
    </row>
    <row r="252" spans="1:2" ht="15.75" thickBot="1">
      <c r="A252" s="3">
        <v>0.509465367</v>
      </c>
      <c r="B252" s="3">
        <v>89759</v>
      </c>
    </row>
    <row r="253" spans="1:2" ht="15.75" thickBot="1">
      <c r="A253" s="3">
        <v>2.1197980000000002E-2</v>
      </c>
      <c r="B253" s="3">
        <v>13088</v>
      </c>
    </row>
    <row r="254" spans="1:2" ht="15.75" thickBot="1">
      <c r="A254" s="3">
        <v>7.0629699000000004E-2</v>
      </c>
      <c r="B254" s="3">
        <v>43608</v>
      </c>
    </row>
    <row r="255" spans="1:2" ht="15.75" thickBot="1">
      <c r="A255" s="3">
        <v>0.42679073499999998</v>
      </c>
      <c r="B255" s="3">
        <v>263508</v>
      </c>
    </row>
    <row r="256" spans="1:2" ht="15.75" thickBot="1">
      <c r="A256" s="3">
        <v>2.0881934850000001</v>
      </c>
      <c r="B256" s="3">
        <v>324708</v>
      </c>
    </row>
    <row r="257" spans="1:2" ht="15.75" thickBot="1">
      <c r="A257" s="3">
        <v>0.70787814299999996</v>
      </c>
      <c r="B257" s="3">
        <v>51486</v>
      </c>
    </row>
    <row r="258" spans="1:2" ht="15.75" thickBot="1">
      <c r="A258" s="3">
        <v>0.86667844900000002</v>
      </c>
      <c r="B258" s="3">
        <v>63036</v>
      </c>
    </row>
    <row r="259" spans="1:2" ht="15.75" thickBot="1">
      <c r="A259" s="3">
        <v>0.78971185899999996</v>
      </c>
      <c r="B259" s="3">
        <v>57438</v>
      </c>
    </row>
    <row r="260" spans="1:2" ht="15.75" thickBot="1">
      <c r="A260" s="3">
        <v>8.3464916E-2</v>
      </c>
      <c r="B260" s="3">
        <v>24400</v>
      </c>
    </row>
    <row r="261" spans="1:2" ht="15.75" thickBot="1">
      <c r="A261" s="3">
        <v>8.4422709999999998E-2</v>
      </c>
      <c r="B261" s="3">
        <v>24680</v>
      </c>
    </row>
    <row r="262" spans="1:2" ht="15.75" thickBot="1">
      <c r="A262" s="3">
        <v>5.7843923999999998E-2</v>
      </c>
      <c r="B262" s="3">
        <v>16910</v>
      </c>
    </row>
    <row r="263" spans="1:2" ht="15.75" thickBot="1">
      <c r="A263" s="3">
        <v>6.6308441999999995E-2</v>
      </c>
      <c r="B263" s="3">
        <v>11695</v>
      </c>
    </row>
    <row r="264" spans="1:2" ht="15.75" thickBot="1">
      <c r="A264" s="3">
        <v>0.111808676</v>
      </c>
      <c r="B264" s="3">
        <v>19720</v>
      </c>
    </row>
    <row r="265" spans="1:2" ht="15.75" thickBot="1">
      <c r="A265" s="3">
        <v>6.9329335000000006E-2</v>
      </c>
      <c r="B265" s="3">
        <v>37440</v>
      </c>
    </row>
    <row r="266" spans="1:2" ht="15.75" thickBot="1">
      <c r="A266" s="3">
        <v>8.9728158000000002E-2</v>
      </c>
      <c r="B266" s="3">
        <v>48456</v>
      </c>
    </row>
    <row r="267" spans="1:2" ht="15.75" thickBot="1">
      <c r="A267" s="3">
        <v>2.4991151E-2</v>
      </c>
      <c r="B267" s="3">
        <v>13496</v>
      </c>
    </row>
    <row r="268" spans="1:2" ht="15.75" thickBot="1">
      <c r="A268" s="3">
        <v>3.9508833E-2</v>
      </c>
      <c r="B268" s="3">
        <v>21336</v>
      </c>
    </row>
    <row r="269" spans="1:2" ht="15.75" thickBot="1">
      <c r="A269" s="3">
        <v>2.4717092999999999E-2</v>
      </c>
      <c r="B269" s="3">
        <v>13348</v>
      </c>
    </row>
    <row r="270" spans="1:2" ht="15.75" thickBot="1">
      <c r="A270" s="3">
        <v>4.8145369999999998E-3</v>
      </c>
      <c r="B270" s="3">
        <v>2600</v>
      </c>
    </row>
    <row r="271" spans="1:2" ht="15.75" thickBot="1">
      <c r="A271" s="3">
        <v>2.6813269999999998E-3</v>
      </c>
      <c r="B271" s="3">
        <v>1448</v>
      </c>
    </row>
    <row r="272" spans="1:2" ht="15.75" thickBot="1">
      <c r="A272" s="3">
        <v>5.1404440000000001E-3</v>
      </c>
      <c r="B272" s="3">
        <v>2776</v>
      </c>
    </row>
    <row r="273" spans="1:4" ht="15.75" thickBot="1">
      <c r="A273" s="3">
        <v>2.6665130000000001E-3</v>
      </c>
      <c r="B273" s="3">
        <v>1440</v>
      </c>
    </row>
    <row r="274" spans="1:4" ht="15.75" thickBot="1">
      <c r="A274" s="3">
        <v>3.7862631000000001E-2</v>
      </c>
      <c r="B274" s="3">
        <v>20447</v>
      </c>
    </row>
    <row r="275" spans="1:4" ht="15.75" thickBot="1">
      <c r="A275" s="3">
        <v>5.5981955999999999E-2</v>
      </c>
      <c r="B275" s="3">
        <v>30232</v>
      </c>
    </row>
    <row r="276" spans="1:4" ht="15.75" thickBot="1">
      <c r="A276" s="3">
        <v>7.5764116000000006E-2</v>
      </c>
      <c r="B276" s="3">
        <v>40048</v>
      </c>
    </row>
    <row r="277" spans="1:4" ht="15.75" thickBot="1">
      <c r="A277" s="3">
        <v>0.100216442</v>
      </c>
      <c r="B277" s="3">
        <v>54120</v>
      </c>
    </row>
    <row r="278" spans="1:4" ht="15.75" thickBot="1">
      <c r="A278" s="3">
        <v>7.3372838999999995E-2</v>
      </c>
      <c r="B278" s="3">
        <v>38784</v>
      </c>
    </row>
    <row r="279" spans="1:4" ht="15.75" thickBot="1">
      <c r="A279" s="3">
        <v>2.1140611850000002</v>
      </c>
      <c r="B279" s="3">
        <v>542180</v>
      </c>
    </row>
    <row r="280" spans="1:4" ht="15.75" thickBot="1">
      <c r="A280" s="3">
        <v>0.176288537</v>
      </c>
      <c r="B280" s="3">
        <v>93184</v>
      </c>
    </row>
    <row r="281" spans="1:4" ht="15.75" thickBot="1">
      <c r="A281" s="3">
        <v>8.9757786000000006E-2</v>
      </c>
      <c r="B281" s="3">
        <v>48472</v>
      </c>
    </row>
    <row r="282" spans="1:4" ht="15.75" thickBot="1"/>
    <row r="283" spans="1:4" ht="15.75" thickBot="1">
      <c r="C283" s="3">
        <v>280.55900000000003</v>
      </c>
      <c r="D283" s="3">
        <v>764905</v>
      </c>
    </row>
    <row r="284" spans="1:4" ht="15.75" thickBot="1">
      <c r="C284" s="3">
        <v>3.8380000000000001</v>
      </c>
      <c r="D284" s="3">
        <v>826315</v>
      </c>
    </row>
    <row r="285" spans="1:4" ht="15.75" thickBot="1">
      <c r="C285" s="3">
        <v>5.2190000000000003</v>
      </c>
      <c r="D285" s="3">
        <v>826315</v>
      </c>
    </row>
    <row r="286" spans="1:4" ht="15.75" thickBot="1">
      <c r="C286" s="3">
        <v>0.107</v>
      </c>
      <c r="D286" s="3">
        <v>6360</v>
      </c>
    </row>
    <row r="287" spans="1:4" ht="15.75" thickBot="1">
      <c r="C287" s="3">
        <v>5.8000000000000003E-2</v>
      </c>
      <c r="D287" s="3">
        <v>6360</v>
      </c>
    </row>
    <row r="288" spans="1:4" ht="15.75" thickBot="1">
      <c r="C288" s="3">
        <v>0.625</v>
      </c>
      <c r="D288" s="3">
        <v>6360</v>
      </c>
    </row>
    <row r="289" spans="3:4" ht="15.75" thickBot="1">
      <c r="C289" s="3">
        <v>1.5</v>
      </c>
      <c r="D289" s="3">
        <v>74380</v>
      </c>
    </row>
    <row r="290" spans="3:4" ht="15.75" thickBot="1">
      <c r="C290" s="3">
        <v>0.53900000000000003</v>
      </c>
      <c r="D290" s="3">
        <v>76850</v>
      </c>
    </row>
    <row r="291" spans="3:4" ht="15.75" thickBot="1">
      <c r="C291" s="3">
        <v>135.721</v>
      </c>
      <c r="D291" s="3">
        <v>193850</v>
      </c>
    </row>
    <row r="292" spans="3:4" ht="15.75" thickBot="1">
      <c r="C292" s="3">
        <v>1.0229999999999999</v>
      </c>
      <c r="D292" s="3">
        <v>200890</v>
      </c>
    </row>
    <row r="293" spans="3:4" ht="15.75" thickBot="1">
      <c r="C293" s="3">
        <v>1.3839999999999999</v>
      </c>
      <c r="D293" s="3">
        <v>200890</v>
      </c>
    </row>
    <row r="294" spans="3:4" ht="15.75" thickBot="1">
      <c r="C294" s="3">
        <v>6.9000000000000006E-2</v>
      </c>
      <c r="D294" s="3">
        <v>4020</v>
      </c>
    </row>
    <row r="295" spans="3:4" ht="15.75" thickBot="1">
      <c r="C295" s="3">
        <v>3.7999999999999999E-2</v>
      </c>
      <c r="D295" s="3">
        <v>4020</v>
      </c>
    </row>
    <row r="296" spans="3:4" ht="15.75" thickBot="1">
      <c r="C296" s="3">
        <v>0.40300000000000002</v>
      </c>
      <c r="D296" s="3">
        <v>4020</v>
      </c>
    </row>
    <row r="297" spans="3:4" ht="15.75" thickBot="1">
      <c r="C297" s="3">
        <v>7.0999999999999994E-2</v>
      </c>
      <c r="D297" s="3">
        <v>4150</v>
      </c>
    </row>
    <row r="298" spans="3:4" ht="15.75" thickBot="1">
      <c r="C298" s="3">
        <v>3.9E-2</v>
      </c>
      <c r="D298" s="3">
        <v>4150</v>
      </c>
    </row>
    <row r="299" spans="3:4" ht="15.75" thickBot="1">
      <c r="C299" s="3">
        <v>0.41599999999999998</v>
      </c>
      <c r="D299" s="3">
        <v>4150</v>
      </c>
    </row>
    <row r="300" spans="3:4" ht="15.75" thickBot="1">
      <c r="C300" s="3">
        <v>2.0880000000000001</v>
      </c>
      <c r="D300" s="3">
        <v>147060</v>
      </c>
    </row>
    <row r="301" spans="3:4" ht="15.75" thickBot="1">
      <c r="C301" s="3">
        <v>31.96</v>
      </c>
      <c r="D301" s="3">
        <v>147060</v>
      </c>
    </row>
    <row r="302" spans="3:4" ht="15.75" thickBot="1">
      <c r="C302" s="3">
        <v>1.2969999999999999</v>
      </c>
      <c r="D302" s="3">
        <v>140960</v>
      </c>
    </row>
    <row r="303" spans="3:4" ht="15.75" thickBot="1">
      <c r="C303" s="3">
        <v>7.3999999999999996E-2</v>
      </c>
      <c r="D303" s="3">
        <v>6100</v>
      </c>
    </row>
    <row r="304" spans="3:4" ht="15.75" thickBot="1">
      <c r="C304" s="3">
        <v>1.23</v>
      </c>
      <c r="D304" s="3">
        <v>6100</v>
      </c>
    </row>
    <row r="305" spans="3:4" ht="15.75" thickBot="1">
      <c r="C305" s="3">
        <v>1.4590000000000001</v>
      </c>
      <c r="D305" s="3">
        <v>192735</v>
      </c>
    </row>
    <row r="306" spans="3:4" ht="15.75" thickBot="1">
      <c r="C306" s="3">
        <v>40.628</v>
      </c>
      <c r="D306" s="3">
        <v>192735</v>
      </c>
    </row>
    <row r="307" spans="3:4" ht="15.75" thickBot="1">
      <c r="C307" s="3">
        <v>0.93400000000000005</v>
      </c>
      <c r="D307" s="3">
        <v>192735</v>
      </c>
    </row>
    <row r="308" spans="3:4" ht="15.75" thickBot="1">
      <c r="C308" s="3">
        <v>4.4710000000000001</v>
      </c>
      <c r="D308" s="3">
        <v>221490</v>
      </c>
    </row>
    <row r="309" spans="3:4" ht="15.75" thickBot="1">
      <c r="C309" s="3">
        <v>1.573</v>
      </c>
      <c r="D309" s="3">
        <v>226450</v>
      </c>
    </row>
    <row r="310" spans="3:4" ht="15.75" thickBot="1">
      <c r="C310" s="3">
        <v>4.9000000000000002E-2</v>
      </c>
      <c r="D310" s="3">
        <v>4010</v>
      </c>
    </row>
    <row r="311" spans="3:4" ht="15.75" thickBot="1">
      <c r="C311" s="3">
        <v>0.81</v>
      </c>
      <c r="D311" s="3">
        <v>4010</v>
      </c>
    </row>
    <row r="312" spans="3:4" ht="15.75" thickBot="1">
      <c r="C312" s="3">
        <v>3.4000000000000002E-2</v>
      </c>
      <c r="D312" s="3">
        <v>4010</v>
      </c>
    </row>
    <row r="313" spans="3:4" ht="15.75" thickBot="1">
      <c r="C313" s="3">
        <v>7.0000000000000007E-2</v>
      </c>
      <c r="D313" s="3">
        <v>6310</v>
      </c>
    </row>
    <row r="314" spans="3:4" ht="15.75" thickBot="1">
      <c r="C314" s="3">
        <v>0.08</v>
      </c>
      <c r="D314" s="3">
        <v>6310</v>
      </c>
    </row>
    <row r="315" spans="3:4" ht="15.75" thickBot="1">
      <c r="C315" s="3">
        <v>1.54</v>
      </c>
      <c r="D315" s="3">
        <v>127556</v>
      </c>
    </row>
    <row r="316" spans="3:4" ht="15.75" thickBot="1">
      <c r="C316" s="3">
        <v>1.67</v>
      </c>
      <c r="D316" s="3">
        <v>121446</v>
      </c>
    </row>
    <row r="317" spans="3:4" ht="15.75" thickBot="1">
      <c r="C317" s="3">
        <v>0.97899999999999998</v>
      </c>
      <c r="D317" s="3">
        <v>42370</v>
      </c>
    </row>
    <row r="318" spans="3:4" ht="15.75" thickBot="1">
      <c r="C318" s="3">
        <v>0.52</v>
      </c>
      <c r="D318" s="3">
        <v>42370</v>
      </c>
    </row>
    <row r="319" spans="3:4" ht="15.75" thickBot="1">
      <c r="C319" s="3">
        <v>4.9000000000000002E-2</v>
      </c>
      <c r="D319" s="3">
        <v>4430</v>
      </c>
    </row>
    <row r="320" spans="3:4" ht="15.75" thickBot="1">
      <c r="C320" s="3">
        <v>5.3999999999999999E-2</v>
      </c>
      <c r="D320" s="3">
        <v>4430</v>
      </c>
    </row>
    <row r="321" spans="3:4" ht="15.75" thickBot="1">
      <c r="C321" s="3">
        <v>3.355</v>
      </c>
      <c r="D321" s="3">
        <v>196450</v>
      </c>
    </row>
    <row r="322" spans="3:4" ht="15.75" thickBot="1">
      <c r="C322" s="3">
        <v>1.839</v>
      </c>
      <c r="D322" s="3">
        <v>196450</v>
      </c>
    </row>
    <row r="323" spans="3:4" ht="15.75" thickBot="1">
      <c r="C323" s="3">
        <v>19.670999999999999</v>
      </c>
      <c r="D323" s="3">
        <v>196450</v>
      </c>
    </row>
    <row r="324" spans="3:4" ht="15.75" thickBot="1">
      <c r="C324" s="3">
        <v>0.20799999999999999</v>
      </c>
      <c r="D324" s="3">
        <v>12220</v>
      </c>
    </row>
    <row r="325" spans="3:4" ht="15.75" thickBot="1">
      <c r="C325" s="3">
        <v>0.114</v>
      </c>
      <c r="D325" s="3">
        <v>12220</v>
      </c>
    </row>
    <row r="326" spans="3:4" ht="15.75" thickBot="1">
      <c r="C326" s="3">
        <v>1.224</v>
      </c>
      <c r="D326" s="3">
        <v>12220</v>
      </c>
    </row>
    <row r="327" spans="3:4" ht="15.75" thickBot="1">
      <c r="C327" s="3">
        <v>2.5950000000000002</v>
      </c>
      <c r="D327" s="3">
        <v>152100</v>
      </c>
    </row>
    <row r="328" spans="3:4" ht="15.75" thickBot="1">
      <c r="C328" s="3">
        <v>1.425</v>
      </c>
      <c r="D328" s="3">
        <v>152100</v>
      </c>
    </row>
    <row r="329" spans="3:4" ht="15.75" thickBot="1">
      <c r="C329" s="3">
        <v>15.23</v>
      </c>
      <c r="D329" s="3">
        <v>152100</v>
      </c>
    </row>
    <row r="330" spans="3:4" ht="15.75" thickBot="1">
      <c r="C330" s="3">
        <v>14.34</v>
      </c>
      <c r="D330" s="3">
        <v>178100</v>
      </c>
    </row>
    <row r="331" spans="3:4" ht="15.75" thickBot="1">
      <c r="C331" s="3">
        <v>2.4119999999999999</v>
      </c>
      <c r="D331" s="3">
        <v>178100</v>
      </c>
    </row>
    <row r="332" spans="3:4" ht="15.75" thickBot="1">
      <c r="C332" s="3">
        <v>6.681</v>
      </c>
      <c r="D332" s="3">
        <v>724269</v>
      </c>
    </row>
    <row r="333" spans="3:4" ht="15.75" thickBot="1">
      <c r="C333" s="3">
        <v>96.38</v>
      </c>
      <c r="D333" s="3">
        <v>724269</v>
      </c>
    </row>
    <row r="334" spans="3:4" ht="15.75" thickBot="1">
      <c r="C334" s="3">
        <v>0.97799999999999998</v>
      </c>
      <c r="D334" s="3">
        <v>108203</v>
      </c>
    </row>
    <row r="335" spans="3:4" ht="15.75" thickBot="1">
      <c r="C335" s="3">
        <v>14.11</v>
      </c>
      <c r="D335" s="3">
        <v>108203</v>
      </c>
    </row>
    <row r="336" spans="3:4" ht="15.75" thickBot="1">
      <c r="C336" s="3">
        <v>0.56799999999999995</v>
      </c>
      <c r="D336" s="3">
        <v>18440</v>
      </c>
    </row>
    <row r="337" spans="3:4" ht="15.75" thickBot="1">
      <c r="C337" s="3">
        <v>0.371</v>
      </c>
      <c r="D337" s="3">
        <v>18440</v>
      </c>
    </row>
    <row r="338" spans="3:4" ht="15.75" thickBot="1">
      <c r="C338" s="3">
        <v>0.02</v>
      </c>
      <c r="D338" s="3">
        <v>1700</v>
      </c>
    </row>
    <row r="339" spans="3:4" ht="15.75" thickBot="1">
      <c r="C339" s="3">
        <v>0.03</v>
      </c>
      <c r="D339" s="3">
        <v>1700</v>
      </c>
    </row>
    <row r="340" spans="3:4" ht="15.75" thickBot="1">
      <c r="C340" s="3">
        <v>3.8039999999999998</v>
      </c>
      <c r="D340" s="3">
        <v>164840</v>
      </c>
    </row>
    <row r="341" spans="3:4" ht="15.75" thickBot="1">
      <c r="C341" s="3">
        <v>2.081</v>
      </c>
      <c r="D341" s="3">
        <v>164840</v>
      </c>
    </row>
    <row r="342" spans="3:4" ht="15.75" thickBot="1">
      <c r="C342" s="3">
        <v>0.43</v>
      </c>
      <c r="D342" s="3">
        <v>18580</v>
      </c>
    </row>
    <row r="343" spans="3:4" ht="15.75" thickBot="1">
      <c r="C343" s="3">
        <v>0.24099999999999999</v>
      </c>
      <c r="D343" s="3">
        <v>18580</v>
      </c>
    </row>
    <row r="344" spans="3:4" ht="15.75" thickBot="1">
      <c r="C344" s="3">
        <v>2.1190000000000002</v>
      </c>
      <c r="D344" s="3">
        <v>11867</v>
      </c>
    </row>
    <row r="345" spans="3:4" ht="15.75" thickBot="1">
      <c r="C345" s="3">
        <v>0.70799999999999996</v>
      </c>
      <c r="D345" s="3">
        <v>11867</v>
      </c>
    </row>
    <row r="346" spans="3:4" ht="15.75" thickBot="1">
      <c r="C346" s="3">
        <v>9.843</v>
      </c>
      <c r="D346" s="3">
        <v>9840</v>
      </c>
    </row>
    <row r="347" spans="3:4" ht="15.75" thickBot="1">
      <c r="C347" s="3">
        <v>1.97</v>
      </c>
      <c r="D347" s="3">
        <v>9840</v>
      </c>
    </row>
    <row r="348" spans="3:4" ht="15.75" thickBot="1">
      <c r="C348" s="3">
        <v>9.1639999999999997</v>
      </c>
      <c r="D348" s="3">
        <v>9161</v>
      </c>
    </row>
    <row r="349" spans="3:4" ht="15.75" thickBot="1">
      <c r="C349" s="3">
        <v>1.835</v>
      </c>
      <c r="D349" s="3">
        <v>9161</v>
      </c>
    </row>
    <row r="350" spans="3:4" ht="15.75" thickBot="1">
      <c r="C350" s="3">
        <v>0.45500000000000002</v>
      </c>
      <c r="D350" s="3">
        <v>63065</v>
      </c>
    </row>
    <row r="351" spans="3:4" ht="15.75" thickBot="1">
      <c r="C351" s="3">
        <v>12.622999999999999</v>
      </c>
      <c r="D351" s="3">
        <v>63065</v>
      </c>
    </row>
    <row r="352" spans="3:4" ht="15.75" thickBot="1">
      <c r="C352" s="3">
        <v>0.29399999999999998</v>
      </c>
      <c r="D352" s="3">
        <v>63065</v>
      </c>
    </row>
    <row r="353" spans="3:4" ht="15.75" thickBot="1">
      <c r="C353" s="3">
        <v>0.32900000000000001</v>
      </c>
      <c r="D353" s="3">
        <v>16140</v>
      </c>
    </row>
    <row r="354" spans="3:4" ht="15.75" thickBot="1">
      <c r="C354" s="3">
        <v>0.113</v>
      </c>
      <c r="D354" s="3">
        <v>16140</v>
      </c>
    </row>
    <row r="355" spans="3:4" ht="15.75" thickBot="1">
      <c r="C355" s="3">
        <v>1.3280000000000001</v>
      </c>
      <c r="D355" s="3">
        <v>102590</v>
      </c>
    </row>
    <row r="356" spans="3:4" ht="15.75" thickBot="1">
      <c r="C356" s="3">
        <v>33.859000000000002</v>
      </c>
      <c r="D356" s="3">
        <v>102590</v>
      </c>
    </row>
    <row r="357" spans="3:4" ht="15.75" thickBot="1">
      <c r="C357" s="3">
        <v>0.72099999999999997</v>
      </c>
      <c r="D357" s="3">
        <v>102590</v>
      </c>
    </row>
    <row r="358" spans="3:4" ht="15.75" thickBot="1">
      <c r="C358" s="3">
        <v>0.189</v>
      </c>
      <c r="D358" s="3">
        <v>102590</v>
      </c>
    </row>
    <row r="359" spans="3:4" ht="15.75" thickBot="1">
      <c r="C359" s="3">
        <v>0.66100000000000003</v>
      </c>
      <c r="D359" s="3">
        <v>2200</v>
      </c>
    </row>
    <row r="360" spans="3:4" ht="15.75" thickBot="1">
      <c r="C360" s="3">
        <v>1.2929999999999999</v>
      </c>
      <c r="D360" s="3">
        <v>107200</v>
      </c>
    </row>
    <row r="361" spans="3:4" ht="15.75" thickBot="1">
      <c r="C361" s="3">
        <v>28.782</v>
      </c>
      <c r="D361" s="3">
        <v>87200</v>
      </c>
    </row>
    <row r="362" spans="3:4" ht="15.75" thickBot="1">
      <c r="C362" s="3">
        <v>0.75600000000000001</v>
      </c>
      <c r="D362" s="3">
        <v>107200</v>
      </c>
    </row>
    <row r="363" spans="3:4" ht="15.75" thickBot="1">
      <c r="C363" s="3">
        <v>0.2</v>
      </c>
      <c r="D363" s="3">
        <v>107200</v>
      </c>
    </row>
    <row r="364" spans="3:4" ht="15.75" thickBot="1">
      <c r="C364" s="3">
        <v>8.1189999999999998</v>
      </c>
      <c r="D364" s="3">
        <v>258310</v>
      </c>
    </row>
    <row r="365" spans="3:4" ht="15.75" thickBot="1">
      <c r="C365" s="3">
        <v>1.135</v>
      </c>
      <c r="D365" s="3">
        <v>37700</v>
      </c>
    </row>
    <row r="366" spans="3:4" ht="15.75" thickBot="1">
      <c r="C366" s="3">
        <v>1.78</v>
      </c>
      <c r="D366" s="3">
        <v>8720</v>
      </c>
    </row>
    <row r="367" spans="3:4" ht="15.75" thickBot="1">
      <c r="C367" s="3">
        <v>0.17799999999999999</v>
      </c>
      <c r="D367" s="3">
        <v>8720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РезультатРозподілу</vt:lpstr>
      <vt:lpstr>РезультатРозподілу (2)</vt:lpstr>
      <vt:lpstr>ПочатокРозподілу</vt:lpstr>
      <vt:lpstr>Перш</vt:lpstr>
      <vt:lpstr>Звед_1</vt:lpstr>
      <vt:lpstr>Аналіз_1</vt:lpstr>
      <vt:lpstr>Звед_2</vt:lpstr>
      <vt:lpstr>Звед_3</vt:lpstr>
      <vt:lpstr>Очистка пробілів в кількостях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2026-07-28T15:01:34Z</dcterms:modified>
</cp:coreProperties>
</file>