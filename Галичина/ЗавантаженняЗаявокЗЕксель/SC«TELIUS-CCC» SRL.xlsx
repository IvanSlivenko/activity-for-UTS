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FAB4168-8108-451D-AD22-29B2985C81A2}" xr6:coauthVersionLast="45" xr6:coauthVersionMax="45" xr10:uidLastSave="{00000000-0000-0000-0000-000000000000}"/>
  <bookViews>
    <workbookView xWindow="-110" yWindow="-110" windowWidth="19420" windowHeight="11620" firstSheet="1" activeTab="1" xr2:uid="{00000000-000D-0000-FFFF-FFFF00000000}"/>
  </bookViews>
  <sheets>
    <sheet name="Майонез" sheetId="2" r:id="rId1"/>
    <sheet name="по 1 паллете вес" sheetId="5" r:id="rId2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5" l="1"/>
  <c r="E15" i="5"/>
  <c r="F5" i="5" l="1"/>
  <c r="F6" i="5" l="1"/>
  <c r="F4" i="5"/>
  <c r="F10" i="5" l="1"/>
  <c r="B4" i="5"/>
  <c r="B5" i="5" s="1"/>
  <c r="B6" i="5" s="1"/>
  <c r="B7" i="5" s="1"/>
  <c r="B8" i="5" s="1"/>
  <c r="B9" i="5" s="1"/>
  <c r="D10" i="5" l="1"/>
  <c r="E9" i="5"/>
  <c r="E8" i="5"/>
  <c r="E7" i="5"/>
  <c r="E6" i="5"/>
  <c r="E5" i="5"/>
  <c r="E4" i="5"/>
  <c r="E3" i="5"/>
  <c r="E10" i="5" l="1"/>
  <c r="G6" i="2"/>
  <c r="H6" i="2" s="1"/>
  <c r="G7" i="2"/>
  <c r="H7" i="2" s="1"/>
  <c r="G8" i="2"/>
  <c r="H8" i="2" s="1"/>
  <c r="G9" i="2"/>
  <c r="H9" i="2" s="1"/>
  <c r="G5" i="2"/>
  <c r="H5" i="2" s="1"/>
  <c r="G4" i="2"/>
  <c r="H4" i="2" s="1"/>
  <c r="G3" i="2"/>
  <c r="H3" i="2" s="1"/>
  <c r="G21" i="2"/>
  <c r="G22" i="2"/>
  <c r="G23" i="2"/>
  <c r="G24" i="2"/>
  <c r="H24" i="2" s="1"/>
  <c r="G25" i="2"/>
  <c r="G26" i="2"/>
  <c r="G27" i="2"/>
  <c r="G28" i="2"/>
  <c r="G29" i="2"/>
  <c r="H29" i="2" s="1"/>
  <c r="G30" i="2"/>
  <c r="G31" i="2"/>
  <c r="H31" i="2" s="1"/>
  <c r="G32" i="2"/>
  <c r="H32" i="2" s="1"/>
  <c r="G33" i="2"/>
  <c r="H33" i="2" s="1"/>
  <c r="G20" i="2"/>
  <c r="H20" i="2" s="1"/>
  <c r="AA8" i="2"/>
  <c r="U8" i="2"/>
  <c r="P8" i="2"/>
  <c r="R8" i="2"/>
  <c r="S8" i="2"/>
  <c r="O34" i="2"/>
  <c r="U33" i="2"/>
  <c r="P33" i="2"/>
  <c r="R33" i="2" s="1"/>
  <c r="U32" i="2"/>
  <c r="P32" i="2"/>
  <c r="R32" i="2" s="1"/>
  <c r="U31" i="2"/>
  <c r="P31" i="2"/>
  <c r="R31" i="2"/>
  <c r="U30" i="2"/>
  <c r="P30" i="2"/>
  <c r="R30" i="2"/>
  <c r="S30" i="2" s="1"/>
  <c r="H30" i="2"/>
  <c r="K30" i="2" s="1"/>
  <c r="L30" i="2" s="1"/>
  <c r="U29" i="2"/>
  <c r="P29" i="2"/>
  <c r="U28" i="2"/>
  <c r="P28" i="2"/>
  <c r="R28" i="2" s="1"/>
  <c r="H28" i="2"/>
  <c r="K28" i="2"/>
  <c r="L28" i="2"/>
  <c r="U27" i="2"/>
  <c r="P27" i="2"/>
  <c r="S27" i="2" s="1"/>
  <c r="R27" i="2"/>
  <c r="H27" i="2"/>
  <c r="K27" i="2" s="1"/>
  <c r="L27" i="2" s="1"/>
  <c r="U26" i="2"/>
  <c r="P26" i="2"/>
  <c r="R26" i="2"/>
  <c r="S26" i="2" s="1"/>
  <c r="H26" i="2"/>
  <c r="K26" i="2"/>
  <c r="L26" i="2"/>
  <c r="U25" i="2"/>
  <c r="P25" i="2"/>
  <c r="R25" i="2"/>
  <c r="H25" i="2"/>
  <c r="D25" i="2" s="1"/>
  <c r="F25" i="2" s="1"/>
  <c r="K25" i="2"/>
  <c r="L25" i="2" s="1"/>
  <c r="U24" i="2"/>
  <c r="U34" i="2" s="1"/>
  <c r="P24" i="2"/>
  <c r="R24" i="2" s="1"/>
  <c r="R34" i="2" s="1"/>
  <c r="U23" i="2"/>
  <c r="P23" i="2"/>
  <c r="R23" i="2"/>
  <c r="S23" i="2" s="1"/>
  <c r="H23" i="2"/>
  <c r="D23" i="2" s="1"/>
  <c r="F23" i="2" s="1"/>
  <c r="K23" i="2"/>
  <c r="L23" i="2"/>
  <c r="U22" i="2"/>
  <c r="P22" i="2"/>
  <c r="R22" i="2"/>
  <c r="H22" i="2"/>
  <c r="D22" i="2" s="1"/>
  <c r="F22" i="2" s="1"/>
  <c r="K22" i="2"/>
  <c r="L22" i="2"/>
  <c r="U21" i="2"/>
  <c r="P21" i="2"/>
  <c r="R21" i="2"/>
  <c r="H21" i="2"/>
  <c r="K21" i="2"/>
  <c r="L21" i="2" s="1"/>
  <c r="U20" i="2"/>
  <c r="P20" i="2"/>
  <c r="O18" i="2"/>
  <c r="O37" i="2" s="1"/>
  <c r="AA17" i="2"/>
  <c r="U17" i="2"/>
  <c r="P17" i="2"/>
  <c r="S17" i="2" s="1"/>
  <c r="R17" i="2"/>
  <c r="H17" i="2"/>
  <c r="K17" i="2"/>
  <c r="L17" i="2"/>
  <c r="AA16" i="2"/>
  <c r="U16" i="2"/>
  <c r="P16" i="2"/>
  <c r="R16" i="2"/>
  <c r="H16" i="2"/>
  <c r="D16" i="2" s="1"/>
  <c r="F16" i="2" s="1"/>
  <c r="K16" i="2"/>
  <c r="L16" i="2"/>
  <c r="AA15" i="2"/>
  <c r="U15" i="2"/>
  <c r="P15" i="2"/>
  <c r="R15" i="2" s="1"/>
  <c r="H15" i="2"/>
  <c r="D15" i="2" s="1"/>
  <c r="F15" i="2" s="1"/>
  <c r="K15" i="2"/>
  <c r="L15" i="2" s="1"/>
  <c r="AA14" i="2"/>
  <c r="U14" i="2"/>
  <c r="P14" i="2"/>
  <c r="R14" i="2"/>
  <c r="H14" i="2"/>
  <c r="K14" i="2"/>
  <c r="L14" i="2"/>
  <c r="AA13" i="2"/>
  <c r="U13" i="2"/>
  <c r="P13" i="2"/>
  <c r="R13" i="2"/>
  <c r="H13" i="2"/>
  <c r="D13" i="2" s="1"/>
  <c r="F13" i="2" s="1"/>
  <c r="AA12" i="2"/>
  <c r="U12" i="2"/>
  <c r="P12" i="2"/>
  <c r="R12" i="2"/>
  <c r="H12" i="2"/>
  <c r="K12" i="2"/>
  <c r="L12" i="2" s="1"/>
  <c r="O10" i="2"/>
  <c r="AA9" i="2"/>
  <c r="U9" i="2"/>
  <c r="P9" i="2"/>
  <c r="S9" i="2" s="1"/>
  <c r="R9" i="2"/>
  <c r="AA7" i="2"/>
  <c r="U7" i="2"/>
  <c r="P7" i="2"/>
  <c r="R7" i="2" s="1"/>
  <c r="S7" i="2" s="1"/>
  <c r="AA6" i="2"/>
  <c r="U6" i="2"/>
  <c r="P6" i="2"/>
  <c r="S6" i="2" s="1"/>
  <c r="R6" i="2"/>
  <c r="AA5" i="2"/>
  <c r="U5" i="2"/>
  <c r="P5" i="2"/>
  <c r="S5" i="2" s="1"/>
  <c r="R5" i="2"/>
  <c r="AA4" i="2"/>
  <c r="U4" i="2"/>
  <c r="P4" i="2"/>
  <c r="S4" i="2" s="1"/>
  <c r="R4" i="2"/>
  <c r="AA3" i="2"/>
  <c r="U3" i="2"/>
  <c r="U10" i="2" s="1"/>
  <c r="V37" i="2" s="1"/>
  <c r="P3" i="2"/>
  <c r="S16" i="2"/>
  <c r="S14" i="2"/>
  <c r="U18" i="2"/>
  <c r="V39" i="2"/>
  <c r="D17" i="2"/>
  <c r="F17" i="2" s="1"/>
  <c r="R29" i="2"/>
  <c r="S29" i="2"/>
  <c r="D26" i="2"/>
  <c r="F26" i="2"/>
  <c r="D28" i="2"/>
  <c r="F28" i="2"/>
  <c r="S21" i="2"/>
  <c r="S22" i="2"/>
  <c r="S25" i="2"/>
  <c r="S31" i="2"/>
  <c r="R20" i="2"/>
  <c r="S20" i="2"/>
  <c r="P34" i="2"/>
  <c r="D12" i="2"/>
  <c r="F12" i="2"/>
  <c r="S13" i="2"/>
  <c r="D14" i="2"/>
  <c r="F14" i="2"/>
  <c r="D21" i="2"/>
  <c r="F21" i="2"/>
  <c r="S12" i="2"/>
  <c r="D32" i="2" l="1"/>
  <c r="F32" i="2" s="1"/>
  <c r="K32" i="2"/>
  <c r="L32" i="2" s="1"/>
  <c r="D20" i="2"/>
  <c r="F20" i="2" s="1"/>
  <c r="K20" i="2"/>
  <c r="L20" i="2" s="1"/>
  <c r="K4" i="2"/>
  <c r="L4" i="2" s="1"/>
  <c r="D4" i="2"/>
  <c r="F4" i="2" s="1"/>
  <c r="D7" i="2"/>
  <c r="F7" i="2" s="1"/>
  <c r="K7" i="2"/>
  <c r="L7" i="2" s="1"/>
  <c r="D3" i="2"/>
  <c r="F3" i="2" s="1"/>
  <c r="K3" i="2"/>
  <c r="L3" i="2" s="1"/>
  <c r="K5" i="2"/>
  <c r="L5" i="2" s="1"/>
  <c r="D5" i="2"/>
  <c r="F5" i="2" s="1"/>
  <c r="D6" i="2"/>
  <c r="F6" i="2" s="1"/>
  <c r="K6" i="2"/>
  <c r="L6" i="2" s="1"/>
  <c r="D9" i="2"/>
  <c r="F9" i="2" s="1"/>
  <c r="K9" i="2"/>
  <c r="L9" i="2" s="1"/>
  <c r="D31" i="2"/>
  <c r="F31" i="2" s="1"/>
  <c r="K31" i="2"/>
  <c r="L31" i="2" s="1"/>
  <c r="D24" i="2"/>
  <c r="F24" i="2" s="1"/>
  <c r="K24" i="2"/>
  <c r="L24" i="2" s="1"/>
  <c r="K33" i="2"/>
  <c r="L33" i="2" s="1"/>
  <c r="D33" i="2"/>
  <c r="F33" i="2" s="1"/>
  <c r="R18" i="2"/>
  <c r="S15" i="2"/>
  <c r="K8" i="2"/>
  <c r="L8" i="2" s="1"/>
  <c r="D8" i="2"/>
  <c r="F8" i="2" s="1"/>
  <c r="D29" i="2"/>
  <c r="F29" i="2" s="1"/>
  <c r="K29" i="2"/>
  <c r="L29" i="2" s="1"/>
  <c r="S18" i="2"/>
  <c r="R3" i="2"/>
  <c r="R10" i="2" s="1"/>
  <c r="R37" i="2" s="1"/>
  <c r="K13" i="2"/>
  <c r="L13" i="2" s="1"/>
  <c r="D27" i="2"/>
  <c r="F27" i="2" s="1"/>
  <c r="S33" i="2"/>
  <c r="P10" i="2"/>
  <c r="P18" i="2"/>
  <c r="S24" i="2"/>
  <c r="S34" i="2" s="1"/>
  <c r="S28" i="2"/>
  <c r="S32" i="2"/>
  <c r="D30" i="2"/>
  <c r="F30" i="2" s="1"/>
  <c r="P37" i="2" l="1"/>
  <c r="S3" i="2"/>
  <c r="S10" i="2" s="1"/>
  <c r="S37" i="2" s="1"/>
</calcChain>
</file>

<file path=xl/sharedStrings.xml><?xml version="1.0" encoding="utf-8"?>
<sst xmlns="http://schemas.openxmlformats.org/spreadsheetml/2006/main" count="94" uniqueCount="69">
  <si>
    <t>сроки ГОДНОСТИ мес</t>
  </si>
  <si>
    <t>ТМЦ</t>
  </si>
  <si>
    <t>ОСТАТОК (мес.)</t>
  </si>
  <si>
    <t>ПЛЕЧО ЗАКАЗА</t>
  </si>
  <si>
    <t>ЧЕРЕЗ СКОЛЬКО ДЕЛАТЬ ЗАКАЗ</t>
  </si>
  <si>
    <t>продажи за 2 мес</t>
  </si>
  <si>
    <t>средние продажи за 1 месяц</t>
  </si>
  <si>
    <t>на 3 мес вперёд</t>
  </si>
  <si>
    <t>что надо заказать  шт. / кг. (красным)</t>
  </si>
  <si>
    <t>упаковок</t>
  </si>
  <si>
    <t>брутто 1 упаковки</t>
  </si>
  <si>
    <t>ВСЕГО ПАЛЛЕТ</t>
  </si>
  <si>
    <t>общий вес брутто с паллетом</t>
  </si>
  <si>
    <t>ЦЕНА</t>
  </si>
  <si>
    <t>СУММА</t>
  </si>
  <si>
    <r>
      <t xml:space="preserve">кол-во на 1 паллете </t>
    </r>
    <r>
      <rPr>
        <b/>
        <sz val="10"/>
        <color rgb="FF0070C0"/>
        <rFont val="Calibri"/>
        <family val="2"/>
        <charset val="204"/>
        <scheme val="minor"/>
      </rPr>
      <t>шт.</t>
    </r>
  </si>
  <si>
    <r>
      <t xml:space="preserve">кол-во на 1 паллете </t>
    </r>
    <r>
      <rPr>
        <b/>
        <sz val="10"/>
        <color rgb="FF0070C0"/>
        <rFont val="Calibri"/>
        <family val="2"/>
        <charset val="204"/>
        <scheme val="minor"/>
      </rPr>
      <t>КОРОБОК</t>
    </r>
  </si>
  <si>
    <t>Frisca "Galychina" 15% 0.500 kg*12</t>
  </si>
  <si>
    <t>Frisca "Galychina" 33% 0.95kg*12</t>
  </si>
  <si>
    <t>Frisca "Galychina" 8% 0.500 kg*12</t>
  </si>
  <si>
    <t>Lapte "Galychina" - Barista 2.5% - 1 lt*12</t>
  </si>
  <si>
    <t>Lapte vegetal "Yommy" - de cocos 3.6% - 1lt*12</t>
  </si>
  <si>
    <t>Lapte vegetal "Yommy" - de migdale 2.2% - 1lt*12</t>
  </si>
  <si>
    <t>всего</t>
  </si>
  <si>
    <t>EUR</t>
  </si>
  <si>
    <t>Im de caviar NISETRU "Kikosan" - negru - 0.5kg*10</t>
  </si>
  <si>
    <t>Im de caviar SOMON "Kikosan" - rosu - 0.5kg*10</t>
  </si>
  <si>
    <t>Im de caviar tobiko "Kikosan" - negru - 0.25kg*20</t>
  </si>
  <si>
    <t>Im de caviar tobiko "Kikosan" - oranj - 0.5kg*10</t>
  </si>
  <si>
    <t>Im de caviar tobiko "Kikosan" - rosu - 0.5kg*10</t>
  </si>
  <si>
    <t>Im de caviar tobiko "Kikosan" - verde - 0.25kg*20</t>
  </si>
  <si>
    <t>USD</t>
  </si>
  <si>
    <t>Ketchup "Kikosan" - pentru frigarui - 5lt/5kg*1</t>
  </si>
  <si>
    <t>Ketchup "Kikosan" - Tomato - 5lt/5kg*1</t>
  </si>
  <si>
    <t>Maioneza "Kikosan" - 50% - 5lt/4.5kg*1</t>
  </si>
  <si>
    <t>Maioneza "Kikosan" - 67% - 5lt/4.5kg*1</t>
  </si>
  <si>
    <t>Maioneza "Kikosan" - 72% - 5lt/4.5kg*1</t>
  </si>
  <si>
    <t>Mustar "Kikosan" - 5lt*1</t>
  </si>
  <si>
    <t>Sos de maioneza "Kikosan" - Cascaval - 5lt/4.5kg*1</t>
  </si>
  <si>
    <t>Sos de maioneza "Kikosan" - Ciuperci - 5lt/4.5kg*1</t>
  </si>
  <si>
    <t>Sos de maioneza "Kikosan" - Tartar - 5 lt/4.5kg*1</t>
  </si>
  <si>
    <t>Sos de maioneza "Kikosan" - Usturoi - 5lt/4.5kg*1</t>
  </si>
  <si>
    <t>Ulei de floarea soarelui "Kikosan" - 5lt*3</t>
  </si>
  <si>
    <t>Ulei pentru friteuza "Kikosan" - 5lt*3</t>
  </si>
  <si>
    <t>КЕТЧУП ТОМАТНЫЙ "KIKOSAN" 1 x 250 гр</t>
  </si>
  <si>
    <t>КЕТЧУП ШАШЛЫЧНЫЙ "KIKOSAN" 1 x 250 гр</t>
  </si>
  <si>
    <t>ИТОГО</t>
  </si>
  <si>
    <t>Lapte vegetal "Yommy" - de ovaz 0.5% - 1lt*12</t>
  </si>
  <si>
    <t>1C 7</t>
  </si>
  <si>
    <t>1C 8</t>
  </si>
  <si>
    <t>остаток на вечер 24/09/24</t>
  </si>
  <si>
    <t>ЗАКАЗ</t>
  </si>
  <si>
    <t>Количество поддонов</t>
  </si>
  <si>
    <t>Кількість стікерів на заводі</t>
  </si>
  <si>
    <t>ЗАКАЗ, в шт.</t>
  </si>
  <si>
    <t>Количество оптовых упаковок</t>
  </si>
  <si>
    <r>
      <t xml:space="preserve">Frisca "Galychina" </t>
    </r>
    <r>
      <rPr>
        <b/>
        <sz val="10"/>
        <color theme="1"/>
        <rFont val="Calibri"/>
        <family val="2"/>
        <charset val="204"/>
        <scheme val="minor"/>
      </rPr>
      <t>к Соусу</t>
    </r>
    <r>
      <rPr>
        <sz val="10"/>
        <color theme="1"/>
        <rFont val="Calibri"/>
        <family val="2"/>
        <scheme val="minor"/>
      </rPr>
      <t xml:space="preserve"> 15% 0.500 kg*12</t>
    </r>
  </si>
  <si>
    <r>
      <t xml:space="preserve">Frisca "Galychina" 8% </t>
    </r>
    <r>
      <rPr>
        <b/>
        <sz val="10"/>
        <color theme="1"/>
        <rFont val="Calibri"/>
        <family val="2"/>
        <charset val="204"/>
        <scheme val="minor"/>
      </rPr>
      <t>к Кофе</t>
    </r>
    <r>
      <rPr>
        <sz val="10"/>
        <color theme="1"/>
        <rFont val="Calibri"/>
        <family val="2"/>
        <scheme val="minor"/>
      </rPr>
      <t xml:space="preserve"> 0.500 kg*12</t>
    </r>
  </si>
  <si>
    <t>Срок годности на упаковке</t>
  </si>
  <si>
    <t>6 месяцев</t>
  </si>
  <si>
    <t>12 месяцев</t>
  </si>
  <si>
    <t>3 месяца</t>
  </si>
  <si>
    <t>фактично</t>
  </si>
  <si>
    <t>партіі</t>
  </si>
  <si>
    <t>піддони</t>
  </si>
  <si>
    <t>Наименование</t>
  </si>
  <si>
    <t>На 04.11.2025</t>
  </si>
  <si>
    <t>На 06.11.2025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</si>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</sst>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_ ;[Red]\-0.00\ "/>
    <numFmt numFmtId="166" formatCode="0_ ;[Red]\-0\ "/>
    <numFmt numFmtId="167" formatCode="0.000"/>
    <numFmt numFmtId="168" formatCode="#,##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3" fillId="0" borderId="0">
      <alignment horizontal="left"/>
    </xf>
    <xf numFmtId="0" fontId="11" fillId="0" borderId="0"/>
  </cellStyleXfs>
  <cellXfs count="1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2" fontId="2" fillId="2" borderId="3" xfId="0" applyNumberFormat="1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/>
    <xf numFmtId="1" fontId="2" fillId="0" borderId="7" xfId="0" applyNumberFormat="1" applyFont="1" applyFill="1" applyBorder="1" applyAlignment="1">
      <alignment vertical="center"/>
    </xf>
    <xf numFmtId="1" fontId="2" fillId="0" borderId="5" xfId="0" applyNumberFormat="1" applyFont="1" applyFill="1" applyBorder="1"/>
    <xf numFmtId="1" fontId="2" fillId="0" borderId="0" xfId="0" applyNumberFormat="1" applyFont="1"/>
    <xf numFmtId="1" fontId="2" fillId="0" borderId="1" xfId="0" applyNumberFormat="1" applyFont="1" applyFill="1" applyBorder="1" applyAlignment="1">
      <alignment vertical="center"/>
    </xf>
    <xf numFmtId="166" fontId="8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/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65" fontId="8" fillId="0" borderId="9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/>
    <xf numFmtId="1" fontId="2" fillId="0" borderId="8" xfId="0" applyNumberFormat="1" applyFont="1" applyFill="1" applyBorder="1" applyAlignment="1">
      <alignment vertical="center"/>
    </xf>
    <xf numFmtId="166" fontId="8" fillId="0" borderId="8" xfId="0" applyNumberFormat="1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64" fontId="2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/>
    <xf numFmtId="1" fontId="2" fillId="2" borderId="14" xfId="0" applyNumberFormat="1" applyFont="1" applyFill="1" applyBorder="1" applyAlignment="1">
      <alignment vertical="center"/>
    </xf>
    <xf numFmtId="1" fontId="2" fillId="2" borderId="13" xfId="0" applyNumberFormat="1" applyFont="1" applyFill="1" applyBorder="1"/>
    <xf numFmtId="1" fontId="2" fillId="2" borderId="13" xfId="0" applyNumberFormat="1" applyFont="1" applyFill="1" applyBorder="1" applyAlignment="1">
      <alignment vertical="center"/>
    </xf>
    <xf numFmtId="166" fontId="8" fillId="2" borderId="13" xfId="0" applyNumberFormat="1" applyFont="1" applyFill="1" applyBorder="1"/>
    <xf numFmtId="0" fontId="8" fillId="2" borderId="13" xfId="0" applyFont="1" applyFill="1" applyBorder="1"/>
    <xf numFmtId="0" fontId="8" fillId="2" borderId="15" xfId="0" applyFont="1" applyFill="1" applyBorder="1" applyAlignment="1">
      <alignment horizontal="center"/>
    </xf>
    <xf numFmtId="0" fontId="8" fillId="2" borderId="14" xfId="0" applyFont="1" applyFill="1" applyBorder="1"/>
    <xf numFmtId="0" fontId="2" fillId="3" borderId="12" xfId="0" applyFont="1" applyFill="1" applyBorder="1"/>
    <xf numFmtId="0" fontId="2" fillId="3" borderId="14" xfId="0" applyFont="1" applyFill="1" applyBorder="1"/>
    <xf numFmtId="0" fontId="2" fillId="0" borderId="0" xfId="0" applyFont="1" applyFill="1"/>
    <xf numFmtId="165" fontId="2" fillId="0" borderId="0" xfId="0" applyNumberFormat="1" applyFont="1" applyFill="1"/>
    <xf numFmtId="0" fontId="2" fillId="0" borderId="16" xfId="0" applyFont="1" applyFill="1" applyBorder="1"/>
    <xf numFmtId="0" fontId="2" fillId="0" borderId="17" xfId="0" applyFont="1" applyFill="1" applyBorder="1"/>
    <xf numFmtId="0" fontId="8" fillId="0" borderId="0" xfId="0" applyFont="1"/>
    <xf numFmtId="0" fontId="2" fillId="0" borderId="0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/>
    <xf numFmtId="164" fontId="2" fillId="3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5" fontId="8" fillId="3" borderId="14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/>
    <xf numFmtId="1" fontId="2" fillId="3" borderId="14" xfId="0" applyNumberFormat="1" applyFont="1" applyFill="1" applyBorder="1" applyAlignment="1">
      <alignment vertical="center"/>
    </xf>
    <xf numFmtId="1" fontId="2" fillId="3" borderId="13" xfId="0" applyNumberFormat="1" applyFont="1" applyFill="1" applyBorder="1"/>
    <xf numFmtId="1" fontId="2" fillId="3" borderId="13" xfId="0" applyNumberFormat="1" applyFont="1" applyFill="1" applyBorder="1" applyAlignment="1">
      <alignment vertical="center"/>
    </xf>
    <xf numFmtId="166" fontId="8" fillId="3" borderId="13" xfId="0" applyNumberFormat="1" applyFont="1" applyFill="1" applyBorder="1"/>
    <xf numFmtId="0" fontId="8" fillId="3" borderId="13" xfId="0" applyFont="1" applyFill="1" applyBorder="1"/>
    <xf numFmtId="0" fontId="8" fillId="3" borderId="15" xfId="0" applyFont="1" applyFill="1" applyBorder="1" applyAlignment="1">
      <alignment horizontal="center"/>
    </xf>
    <xf numFmtId="2" fontId="8" fillId="3" borderId="15" xfId="0" applyNumberFormat="1" applyFont="1" applyFill="1" applyBorder="1" applyAlignment="1">
      <alignment horizontal="center"/>
    </xf>
    <xf numFmtId="0" fontId="8" fillId="3" borderId="14" xfId="0" applyFont="1" applyFill="1" applyBorder="1"/>
    <xf numFmtId="165" fontId="2" fillId="0" borderId="0" xfId="0" applyNumberFormat="1" applyFont="1"/>
    <xf numFmtId="0" fontId="2" fillId="0" borderId="16" xfId="0" applyFont="1" applyBorder="1"/>
    <xf numFmtId="0" fontId="2" fillId="0" borderId="17" xfId="0" applyFont="1" applyBorder="1"/>
    <xf numFmtId="1" fontId="2" fillId="0" borderId="1" xfId="0" applyNumberFormat="1" applyFont="1" applyBorder="1"/>
    <xf numFmtId="1" fontId="2" fillId="0" borderId="1" xfId="0" applyNumberFormat="1" applyFont="1" applyFill="1" applyBorder="1"/>
    <xf numFmtId="0" fontId="2" fillId="0" borderId="18" xfId="0" applyFont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8" xfId="0" applyFont="1" applyFill="1" applyBorder="1"/>
    <xf numFmtId="164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165" fontId="8" fillId="0" borderId="19" xfId="0" applyNumberFormat="1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vertical="center"/>
    </xf>
    <xf numFmtId="1" fontId="2" fillId="0" borderId="21" xfId="0" applyNumberFormat="1" applyFont="1" applyFill="1" applyBorder="1"/>
    <xf numFmtId="1" fontId="2" fillId="0" borderId="0" xfId="0" applyNumberFormat="1" applyFont="1" applyFill="1"/>
    <xf numFmtId="1" fontId="2" fillId="0" borderId="18" xfId="0" applyNumberFormat="1" applyFont="1" applyFill="1" applyBorder="1" applyAlignment="1">
      <alignment vertical="center"/>
    </xf>
    <xf numFmtId="166" fontId="8" fillId="0" borderId="18" xfId="0" applyNumberFormat="1" applyFont="1" applyBorder="1"/>
    <xf numFmtId="2" fontId="2" fillId="0" borderId="18" xfId="0" applyNumberFormat="1" applyFont="1" applyBorder="1" applyAlignment="1">
      <alignment horizontal="center"/>
    </xf>
    <xf numFmtId="164" fontId="8" fillId="2" borderId="13" xfId="0" applyNumberFormat="1" applyFont="1" applyFill="1" applyBorder="1" applyAlignment="1">
      <alignment horizontal="center" vertical="center"/>
    </xf>
    <xf numFmtId="166" fontId="2" fillId="2" borderId="13" xfId="0" applyNumberFormat="1" applyFont="1" applyFill="1" applyBorder="1"/>
    <xf numFmtId="2" fontId="8" fillId="2" borderId="15" xfId="0" applyNumberFormat="1" applyFont="1" applyFill="1" applyBorder="1" applyAlignment="1">
      <alignment horizontal="center"/>
    </xf>
    <xf numFmtId="0" fontId="8" fillId="2" borderId="22" xfId="0" applyFont="1" applyFill="1" applyBorder="1"/>
    <xf numFmtId="0" fontId="8" fillId="2" borderId="23" xfId="0" applyFont="1" applyFill="1" applyBorder="1"/>
    <xf numFmtId="0" fontId="8" fillId="3" borderId="22" xfId="0" applyFont="1" applyFill="1" applyBorder="1"/>
    <xf numFmtId="0" fontId="8" fillId="3" borderId="23" xfId="0" applyFont="1" applyFill="1" applyBorder="1"/>
    <xf numFmtId="0" fontId="9" fillId="0" borderId="8" xfId="0" applyFont="1" applyFill="1" applyBorder="1" applyAlignment="1">
      <alignment horizontal="center"/>
    </xf>
    <xf numFmtId="166" fontId="8" fillId="0" borderId="1" xfId="0" applyNumberFormat="1" applyFont="1" applyFill="1" applyBorder="1"/>
    <xf numFmtId="0" fontId="9" fillId="0" borderId="1" xfId="0" applyFont="1" applyFill="1" applyBorder="1"/>
    <xf numFmtId="16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10" fillId="0" borderId="2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vertical="center"/>
    </xf>
    <xf numFmtId="1" fontId="9" fillId="0" borderId="5" xfId="0" applyNumberFormat="1" applyFont="1" applyFill="1" applyBorder="1"/>
    <xf numFmtId="167" fontId="0" fillId="0" borderId="24" xfId="0" applyNumberFormat="1" applyFont="1" applyBorder="1" applyAlignment="1">
      <alignment horizontal="right" vertical="top"/>
    </xf>
    <xf numFmtId="167" fontId="0" fillId="0" borderId="25" xfId="0" applyNumberFormat="1" applyFont="1" applyBorder="1" applyAlignment="1">
      <alignment horizontal="right" vertical="top"/>
    </xf>
    <xf numFmtId="167" fontId="0" fillId="0" borderId="1" xfId="0" applyNumberFormat="1" applyFont="1" applyBorder="1" applyAlignment="1">
      <alignment horizontal="right" vertical="top"/>
    </xf>
    <xf numFmtId="0" fontId="0" fillId="0" borderId="24" xfId="0" applyNumberFormat="1" applyFont="1" applyBorder="1" applyAlignment="1">
      <alignment vertical="top"/>
    </xf>
    <xf numFmtId="168" fontId="0" fillId="0" borderId="24" xfId="0" applyNumberFormat="1" applyFont="1" applyBorder="1" applyAlignment="1">
      <alignment horizontal="right" vertical="top"/>
    </xf>
    <xf numFmtId="4" fontId="2" fillId="0" borderId="0" xfId="0" applyNumberFormat="1" applyFont="1"/>
    <xf numFmtId="167" fontId="11" fillId="0" borderId="26" xfId="2" applyNumberFormat="1" applyFont="1" applyBorder="1" applyAlignment="1">
      <alignment horizontal="right" vertical="top"/>
    </xf>
    <xf numFmtId="168" fontId="11" fillId="0" borderId="26" xfId="2" applyNumberFormat="1" applyFont="1" applyBorder="1" applyAlignment="1">
      <alignment horizontal="right" vertical="top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2" fillId="0" borderId="13" xfId="0" applyFont="1" applyFill="1" applyBorder="1"/>
    <xf numFmtId="0" fontId="8" fillId="0" borderId="1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3" fillId="0" borderId="1" xfId="1" applyFont="1" applyFill="1" applyBorder="1" applyAlignment="1">
      <alignment horizontal="center" vertical="center" wrapText="1"/>
    </xf>
    <xf numFmtId="12" fontId="2" fillId="0" borderId="1" xfId="0" applyNumberFormat="1" applyFont="1" applyFill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4" fillId="5" borderId="0" xfId="0" applyFont="1" applyFill="1"/>
    <xf numFmtId="0" fontId="1" fillId="0" borderId="0" xfId="0" applyFont="1" applyAlignment="1">
      <alignment vertical="center"/>
    </xf>
  </cellXfs>
  <cellStyles count="3">
    <cellStyle name="Звичайний" xfId="0" builtinId="0"/>
    <cellStyle name="Обычный 2" xfId="1" xr:uid="{00000000-0005-0000-0000-000001000000}"/>
    <cellStyle name="Обычный_Майонез бля !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workbookViewId="0">
      <selection activeCell="O24" sqref="O24"/>
    </sheetView>
  </sheetViews>
  <sheetFormatPr defaultColWidth="9.1796875" defaultRowHeight="13" x14ac:dyDescent="0.3"/>
  <cols>
    <col min="1" max="1" width="9.453125" style="1" bestFit="1" customWidth="1"/>
    <col min="2" max="2" width="8.26953125" style="1" bestFit="1" customWidth="1"/>
    <col min="3" max="3" width="41.1796875" style="1" bestFit="1" customWidth="1"/>
    <col min="4" max="4" width="8.26953125" style="1" customWidth="1"/>
    <col min="5" max="5" width="7" style="1" customWidth="1"/>
    <col min="6" max="6" width="8.26953125" style="1" customWidth="1"/>
    <col min="7" max="7" width="8.1796875" style="1" customWidth="1"/>
    <col min="8" max="8" width="9.453125" style="1" customWidth="1"/>
    <col min="9" max="9" width="9" style="1" customWidth="1"/>
    <col min="10" max="10" width="5.54296875" style="1" customWidth="1"/>
    <col min="11" max="11" width="7.7265625" style="1" customWidth="1"/>
    <col min="12" max="12" width="10.7265625" style="1" customWidth="1"/>
    <col min="13" max="13" width="5.54296875" style="1" customWidth="1"/>
    <col min="14" max="14" width="6" style="1" customWidth="1"/>
    <col min="15" max="15" width="6.1796875" style="1" bestFit="1" customWidth="1"/>
    <col min="16" max="16" width="8.453125" style="1" bestFit="1" customWidth="1"/>
    <col min="17" max="17" width="8.26953125" style="1" bestFit="1" customWidth="1"/>
    <col min="18" max="18" width="7" style="1" bestFit="1" customWidth="1"/>
    <col min="19" max="19" width="8.7265625" style="1" bestFit="1" customWidth="1"/>
    <col min="20" max="20" width="5.453125" style="1" customWidth="1"/>
    <col min="21" max="21" width="8.453125" style="1" customWidth="1"/>
    <col min="22" max="22" width="7.26953125" style="1" customWidth="1"/>
    <col min="23" max="25" width="9.1796875" style="1" customWidth="1"/>
    <col min="26" max="26" width="8.81640625" style="1" customWidth="1"/>
    <col min="27" max="27" width="10" style="1" customWidth="1"/>
    <col min="28" max="63" width="9.1796875" style="1" customWidth="1"/>
    <col min="64" max="16384" width="9.1796875" style="1"/>
  </cols>
  <sheetData>
    <row r="1" spans="1:30" ht="13.5" thickBot="1" x14ac:dyDescent="0.35"/>
    <row r="2" spans="1:30" s="2" customFormat="1" ht="52" x14ac:dyDescent="0.35">
      <c r="B2" s="3" t="s">
        <v>0</v>
      </c>
      <c r="C2" s="4" t="s">
        <v>1</v>
      </c>
      <c r="D2" s="5" t="s">
        <v>2</v>
      </c>
      <c r="E2" s="6" t="s">
        <v>3</v>
      </c>
      <c r="F2" s="7" t="s">
        <v>4</v>
      </c>
      <c r="G2" s="8" t="s">
        <v>5</v>
      </c>
      <c r="H2" s="9" t="s">
        <v>6</v>
      </c>
      <c r="I2" s="10" t="s">
        <v>50</v>
      </c>
      <c r="K2" s="6" t="s">
        <v>7</v>
      </c>
      <c r="L2" s="11" t="s">
        <v>8</v>
      </c>
      <c r="O2" s="12" t="s">
        <v>51</v>
      </c>
      <c r="P2" s="13" t="s">
        <v>9</v>
      </c>
      <c r="Q2" s="3" t="s">
        <v>10</v>
      </c>
      <c r="R2" s="5" t="s">
        <v>11</v>
      </c>
      <c r="S2" s="3" t="s">
        <v>12</v>
      </c>
      <c r="T2" s="14" t="s">
        <v>13</v>
      </c>
      <c r="U2" s="14" t="s">
        <v>14</v>
      </c>
      <c r="Z2" s="3" t="s">
        <v>15</v>
      </c>
      <c r="AA2" s="15" t="s">
        <v>16</v>
      </c>
      <c r="AC2" s="2" t="s">
        <v>48</v>
      </c>
      <c r="AD2" s="2" t="s">
        <v>49</v>
      </c>
    </row>
    <row r="3" spans="1:30" ht="14.5" x14ac:dyDescent="0.3">
      <c r="B3" s="16">
        <v>6</v>
      </c>
      <c r="C3" s="17" t="s">
        <v>17</v>
      </c>
      <c r="D3" s="18">
        <f t="shared" ref="D3:D9" si="0">I3/H3</f>
        <v>0.21428571428571427</v>
      </c>
      <c r="E3" s="19">
        <v>1.5</v>
      </c>
      <c r="F3" s="20">
        <f t="shared" ref="F3:F9" si="1">D3-E3</f>
        <v>-1.2857142857142858</v>
      </c>
      <c r="G3" s="21">
        <f>AC3+AD3</f>
        <v>728</v>
      </c>
      <c r="H3" s="22">
        <f t="shared" ref="H3:H9" si="2">G3/2</f>
        <v>364</v>
      </c>
      <c r="I3" s="110">
        <v>78</v>
      </c>
      <c r="J3" s="24"/>
      <c r="K3" s="25">
        <f t="shared" ref="K3:K9" si="3">H3*3</f>
        <v>1092</v>
      </c>
      <c r="L3" s="26">
        <f>I3-K3</f>
        <v>-1014</v>
      </c>
      <c r="O3" s="30">
        <v>1260</v>
      </c>
      <c r="P3" s="27">
        <f>O3/12</f>
        <v>105</v>
      </c>
      <c r="Q3" s="27">
        <v>6.39</v>
      </c>
      <c r="R3" s="27">
        <f>P3/105</f>
        <v>1</v>
      </c>
      <c r="S3" s="29">
        <f t="shared" ref="S3:S9" si="4">(P3*Q3)+(R3*25)</f>
        <v>695.94999999999993</v>
      </c>
      <c r="T3" s="28">
        <v>1.1000000000000001</v>
      </c>
      <c r="U3" s="28">
        <f t="shared" ref="U3:U9" si="5">O3*T3</f>
        <v>1386</v>
      </c>
      <c r="Z3" s="28">
        <v>1260</v>
      </c>
      <c r="AA3" s="28">
        <f>Z3/12</f>
        <v>105</v>
      </c>
      <c r="AC3" s="57">
        <v>503</v>
      </c>
      <c r="AD3" s="116">
        <v>225</v>
      </c>
    </row>
    <row r="4" spans="1:30" ht="14.5" x14ac:dyDescent="0.3">
      <c r="B4" s="29">
        <v>3</v>
      </c>
      <c r="C4" s="17" t="s">
        <v>18</v>
      </c>
      <c r="D4" s="18">
        <f t="shared" si="0"/>
        <v>1.0102175346077784</v>
      </c>
      <c r="E4" s="19">
        <v>1.5</v>
      </c>
      <c r="F4" s="20">
        <f t="shared" si="1"/>
        <v>-0.48978246539222159</v>
      </c>
      <c r="G4" s="21">
        <f>AC4+AD4</f>
        <v>6068</v>
      </c>
      <c r="H4" s="22">
        <f t="shared" si="2"/>
        <v>3034</v>
      </c>
      <c r="I4" s="114">
        <v>3065</v>
      </c>
      <c r="J4" s="91"/>
      <c r="K4" s="25">
        <f t="shared" si="3"/>
        <v>9102</v>
      </c>
      <c r="L4" s="103">
        <f t="shared" ref="L4:L31" si="6">I4-K4</f>
        <v>-6037</v>
      </c>
      <c r="M4" s="57"/>
      <c r="N4" s="30"/>
      <c r="O4" s="30">
        <v>3600</v>
      </c>
      <c r="P4" s="29">
        <f t="shared" ref="P4:P9" si="7">O4/12</f>
        <v>300</v>
      </c>
      <c r="Q4" s="29">
        <v>11.93</v>
      </c>
      <c r="R4" s="29">
        <f>P4/60</f>
        <v>5</v>
      </c>
      <c r="S4" s="29">
        <f t="shared" si="4"/>
        <v>3704</v>
      </c>
      <c r="T4" s="17">
        <v>2.85</v>
      </c>
      <c r="U4" s="17">
        <f t="shared" si="5"/>
        <v>10260</v>
      </c>
      <c r="Z4" s="28">
        <v>720</v>
      </c>
      <c r="AA4" s="28">
        <f t="shared" ref="AA4:AA9" si="8">Z4/12</f>
        <v>60</v>
      </c>
      <c r="AC4" s="115">
        <v>4297</v>
      </c>
      <c r="AD4" s="117">
        <v>1771</v>
      </c>
    </row>
    <row r="5" spans="1:30" ht="14.5" x14ac:dyDescent="0.3">
      <c r="B5" s="29">
        <v>6</v>
      </c>
      <c r="C5" s="17" t="s">
        <v>19</v>
      </c>
      <c r="D5" s="18">
        <f t="shared" si="0"/>
        <v>5.4738955823293169</v>
      </c>
      <c r="E5" s="19">
        <v>1.5</v>
      </c>
      <c r="F5" s="20">
        <f t="shared" si="1"/>
        <v>3.9738955823293169</v>
      </c>
      <c r="G5" s="21">
        <f>AC5+AD5</f>
        <v>498</v>
      </c>
      <c r="H5" s="22">
        <f t="shared" si="2"/>
        <v>249</v>
      </c>
      <c r="I5" s="114">
        <v>1363</v>
      </c>
      <c r="J5" s="91"/>
      <c r="K5" s="25">
        <f t="shared" si="3"/>
        <v>747</v>
      </c>
      <c r="L5" s="103">
        <f t="shared" si="6"/>
        <v>616</v>
      </c>
      <c r="M5" s="57"/>
      <c r="N5" s="30"/>
      <c r="O5" s="30"/>
      <c r="P5" s="29">
        <f t="shared" si="7"/>
        <v>0</v>
      </c>
      <c r="Q5" s="29">
        <v>6.39</v>
      </c>
      <c r="R5" s="29">
        <f>P5/105</f>
        <v>0</v>
      </c>
      <c r="S5" s="29">
        <f t="shared" si="4"/>
        <v>0</v>
      </c>
      <c r="T5" s="17">
        <v>0.76</v>
      </c>
      <c r="U5" s="17">
        <f t="shared" si="5"/>
        <v>0</v>
      </c>
      <c r="Z5" s="28">
        <v>1260</v>
      </c>
      <c r="AA5" s="28">
        <f t="shared" si="8"/>
        <v>105</v>
      </c>
      <c r="AC5" s="1">
        <v>355</v>
      </c>
      <c r="AD5" s="116">
        <v>143</v>
      </c>
    </row>
    <row r="6" spans="1:30" x14ac:dyDescent="0.3">
      <c r="B6" s="30">
        <v>12</v>
      </c>
      <c r="C6" s="104" t="s">
        <v>20</v>
      </c>
      <c r="D6" s="105" t="e">
        <f t="shared" si="0"/>
        <v>#DIV/0!</v>
      </c>
      <c r="E6" s="106">
        <v>1.5</v>
      </c>
      <c r="F6" s="107" t="e">
        <f t="shared" si="1"/>
        <v>#DIV/0!</v>
      </c>
      <c r="G6" s="21">
        <f t="shared" ref="G6:G9" si="9">AC6+AD6</f>
        <v>0</v>
      </c>
      <c r="H6" s="108">
        <f t="shared" si="2"/>
        <v>0</v>
      </c>
      <c r="I6" s="109"/>
      <c r="J6" s="91"/>
      <c r="K6" s="25">
        <f t="shared" si="3"/>
        <v>0</v>
      </c>
      <c r="L6" s="103">
        <f t="shared" si="6"/>
        <v>0</v>
      </c>
      <c r="M6" s="57"/>
      <c r="N6" s="30"/>
      <c r="O6" s="30"/>
      <c r="P6" s="29">
        <f t="shared" si="7"/>
        <v>0</v>
      </c>
      <c r="Q6" s="29">
        <v>12.63</v>
      </c>
      <c r="R6" s="29">
        <f t="shared" ref="R6:R9" si="10">P6/60</f>
        <v>0</v>
      </c>
      <c r="S6" s="29">
        <f t="shared" si="4"/>
        <v>0</v>
      </c>
      <c r="T6" s="17">
        <v>0.67</v>
      </c>
      <c r="U6" s="17">
        <f t="shared" si="5"/>
        <v>0</v>
      </c>
      <c r="Z6" s="28">
        <v>720</v>
      </c>
      <c r="AA6" s="28">
        <f t="shared" si="8"/>
        <v>60</v>
      </c>
    </row>
    <row r="7" spans="1:30" x14ac:dyDescent="0.3">
      <c r="B7" s="29">
        <v>6</v>
      </c>
      <c r="C7" s="17" t="s">
        <v>21</v>
      </c>
      <c r="D7" s="18" t="e">
        <f t="shared" si="0"/>
        <v>#DIV/0!</v>
      </c>
      <c r="E7" s="19">
        <v>1.5</v>
      </c>
      <c r="F7" s="20" t="e">
        <f t="shared" si="1"/>
        <v>#DIV/0!</v>
      </c>
      <c r="G7" s="21">
        <f t="shared" si="9"/>
        <v>0</v>
      </c>
      <c r="H7" s="22">
        <f t="shared" si="2"/>
        <v>0</v>
      </c>
      <c r="I7" s="23"/>
      <c r="J7" s="24"/>
      <c r="K7" s="25">
        <f t="shared" si="3"/>
        <v>0</v>
      </c>
      <c r="L7" s="26">
        <f t="shared" si="6"/>
        <v>0</v>
      </c>
      <c r="O7" s="30">
        <v>720</v>
      </c>
      <c r="P7" s="27">
        <f t="shared" si="7"/>
        <v>60</v>
      </c>
      <c r="Q7" s="27">
        <v>12.81</v>
      </c>
      <c r="R7" s="27">
        <f t="shared" si="10"/>
        <v>1</v>
      </c>
      <c r="S7" s="29">
        <f t="shared" si="4"/>
        <v>793.6</v>
      </c>
      <c r="T7" s="28">
        <v>1.75</v>
      </c>
      <c r="U7" s="28">
        <f t="shared" si="5"/>
        <v>1260</v>
      </c>
      <c r="Z7" s="28">
        <v>720</v>
      </c>
      <c r="AA7" s="28">
        <f t="shared" si="8"/>
        <v>60</v>
      </c>
    </row>
    <row r="8" spans="1:30" x14ac:dyDescent="0.3">
      <c r="B8" s="31">
        <v>6</v>
      </c>
      <c r="C8" s="32" t="s">
        <v>22</v>
      </c>
      <c r="D8" s="33" t="e">
        <f t="shared" ref="D8" si="11">I8/H8</f>
        <v>#DIV/0!</v>
      </c>
      <c r="E8" s="34">
        <v>1.5</v>
      </c>
      <c r="F8" s="35" t="e">
        <f t="shared" ref="F8" si="12">D8-E8</f>
        <v>#DIV/0!</v>
      </c>
      <c r="G8" s="21">
        <f t="shared" si="9"/>
        <v>0</v>
      </c>
      <c r="H8" s="36">
        <f t="shared" ref="H8" si="13">G8/2</f>
        <v>0</v>
      </c>
      <c r="I8" s="37"/>
      <c r="J8" s="24"/>
      <c r="K8" s="38">
        <f t="shared" ref="K8" si="14">H8*3</f>
        <v>0</v>
      </c>
      <c r="L8" s="39">
        <f t="shared" ref="L8" si="15">I8-K8</f>
        <v>0</v>
      </c>
      <c r="O8" s="102">
        <v>720</v>
      </c>
      <c r="P8" s="27">
        <f t="shared" ref="P8" si="16">O8/12</f>
        <v>60</v>
      </c>
      <c r="Q8" s="40">
        <v>12.81</v>
      </c>
      <c r="R8" s="27">
        <f t="shared" ref="R8" si="17">P8/60</f>
        <v>1</v>
      </c>
      <c r="S8" s="31">
        <f t="shared" ref="S8" si="18">(P8*Q8)+(R8*25)</f>
        <v>793.6</v>
      </c>
      <c r="T8" s="41">
        <v>1.75</v>
      </c>
      <c r="U8" s="41">
        <f t="shared" ref="U8" si="19">O8*T8</f>
        <v>1260</v>
      </c>
      <c r="Z8" s="41">
        <v>720</v>
      </c>
      <c r="AA8" s="41">
        <f t="shared" ref="AA8" si="20">Z8/12</f>
        <v>60</v>
      </c>
    </row>
    <row r="9" spans="1:30" ht="13.5" thickBot="1" x14ac:dyDescent="0.35">
      <c r="B9" s="31">
        <v>6</v>
      </c>
      <c r="C9" s="32" t="s">
        <v>47</v>
      </c>
      <c r="D9" s="33" t="e">
        <f t="shared" si="0"/>
        <v>#DIV/0!</v>
      </c>
      <c r="E9" s="34">
        <v>1.5</v>
      </c>
      <c r="F9" s="35" t="e">
        <f t="shared" si="1"/>
        <v>#DIV/0!</v>
      </c>
      <c r="G9" s="21">
        <f t="shared" si="9"/>
        <v>0</v>
      </c>
      <c r="H9" s="36">
        <f t="shared" si="2"/>
        <v>0</v>
      </c>
      <c r="I9" s="37"/>
      <c r="J9" s="24"/>
      <c r="K9" s="38">
        <f t="shared" si="3"/>
        <v>0</v>
      </c>
      <c r="L9" s="39">
        <f t="shared" si="6"/>
        <v>0</v>
      </c>
      <c r="O9" s="102"/>
      <c r="P9" s="27">
        <f t="shared" si="7"/>
        <v>0</v>
      </c>
      <c r="Q9" s="40">
        <v>12.81</v>
      </c>
      <c r="R9" s="27">
        <f t="shared" si="10"/>
        <v>0</v>
      </c>
      <c r="S9" s="31">
        <f t="shared" si="4"/>
        <v>0</v>
      </c>
      <c r="T9" s="41">
        <v>1.75</v>
      </c>
      <c r="U9" s="41">
        <f t="shared" si="5"/>
        <v>0</v>
      </c>
      <c r="Z9" s="41">
        <v>720</v>
      </c>
      <c r="AA9" s="41">
        <f t="shared" si="8"/>
        <v>60</v>
      </c>
    </row>
    <row r="10" spans="1:30" ht="13.5" thickBot="1" x14ac:dyDescent="0.35">
      <c r="B10" s="42"/>
      <c r="C10" s="43"/>
      <c r="D10" s="44"/>
      <c r="E10" s="45"/>
      <c r="F10" s="46"/>
      <c r="G10" s="47"/>
      <c r="H10" s="48"/>
      <c r="I10" s="49"/>
      <c r="J10" s="49"/>
      <c r="K10" s="50"/>
      <c r="L10" s="51"/>
      <c r="M10" s="43"/>
      <c r="N10" s="52" t="s">
        <v>23</v>
      </c>
      <c r="O10" s="53">
        <f>SUM(O3:O9)</f>
        <v>6300</v>
      </c>
      <c r="P10" s="53">
        <f>SUM(P3:P9)</f>
        <v>525</v>
      </c>
      <c r="Q10" s="53"/>
      <c r="R10" s="53">
        <f>SUM(R3:R9)</f>
        <v>8</v>
      </c>
      <c r="S10" s="53">
        <f t="shared" ref="S10:U10" si="21">SUM(S3:S9)</f>
        <v>5987.1500000000005</v>
      </c>
      <c r="T10" s="53"/>
      <c r="U10" s="97">
        <f t="shared" si="21"/>
        <v>14166</v>
      </c>
      <c r="V10" s="54" t="s">
        <v>24</v>
      </c>
      <c r="Z10" s="55"/>
      <c r="AA10" s="56"/>
    </row>
    <row r="11" spans="1:30" x14ac:dyDescent="0.3">
      <c r="B11" s="57"/>
      <c r="C11" s="57"/>
      <c r="D11" s="57"/>
      <c r="E11" s="57"/>
      <c r="F11" s="58"/>
      <c r="G11" s="59"/>
      <c r="H11" s="60"/>
      <c r="I11" s="57"/>
      <c r="K11" s="57"/>
      <c r="L11" s="61"/>
    </row>
    <row r="12" spans="1:30" ht="14.5" x14ac:dyDescent="0.3">
      <c r="A12" s="62"/>
      <c r="B12" s="29">
        <v>8</v>
      </c>
      <c r="C12" s="17" t="s">
        <v>25</v>
      </c>
      <c r="D12" s="18">
        <f t="shared" ref="D12:D17" si="22">I12/H12</f>
        <v>57.826086956521742</v>
      </c>
      <c r="E12" s="19">
        <v>1.5</v>
      </c>
      <c r="F12" s="20">
        <f t="shared" ref="F12:F17" si="23">D12-E12</f>
        <v>56.326086956521742</v>
      </c>
      <c r="G12" s="21">
        <v>5.75</v>
      </c>
      <c r="H12" s="22">
        <f t="shared" ref="H12:H17" si="24">G12/2</f>
        <v>2.875</v>
      </c>
      <c r="I12" s="110">
        <v>166.25</v>
      </c>
      <c r="J12" s="24"/>
      <c r="K12" s="25">
        <f t="shared" ref="K12:K17" si="25">H12*3</f>
        <v>8.625</v>
      </c>
      <c r="L12" s="26">
        <f t="shared" si="6"/>
        <v>157.625</v>
      </c>
      <c r="O12" s="27"/>
      <c r="P12" s="27">
        <f>O12/10</f>
        <v>0</v>
      </c>
      <c r="Q12" s="27">
        <v>5.36</v>
      </c>
      <c r="R12" s="27">
        <f>P12/110</f>
        <v>0</v>
      </c>
      <c r="S12" s="27">
        <f t="shared" ref="S12:S17" si="26">(P12*Q12)+(R12*23)</f>
        <v>0</v>
      </c>
      <c r="T12" s="28">
        <v>1.89</v>
      </c>
      <c r="U12" s="28">
        <f>O12*T12</f>
        <v>0</v>
      </c>
      <c r="Z12" s="27">
        <v>1100</v>
      </c>
      <c r="AA12" s="28">
        <f>Z12/10</f>
        <v>110</v>
      </c>
    </row>
    <row r="13" spans="1:30" ht="14.5" x14ac:dyDescent="0.3">
      <c r="A13" s="62"/>
      <c r="B13" s="29">
        <v>8</v>
      </c>
      <c r="C13" s="17" t="s">
        <v>26</v>
      </c>
      <c r="D13" s="18">
        <f t="shared" si="22"/>
        <v>9.6</v>
      </c>
      <c r="E13" s="19">
        <v>1.5</v>
      </c>
      <c r="F13" s="20">
        <f t="shared" si="23"/>
        <v>8.1</v>
      </c>
      <c r="G13" s="21">
        <v>12.5</v>
      </c>
      <c r="H13" s="22">
        <f t="shared" si="24"/>
        <v>6.25</v>
      </c>
      <c r="I13" s="110">
        <v>60</v>
      </c>
      <c r="J13" s="24"/>
      <c r="K13" s="25">
        <f t="shared" si="25"/>
        <v>18.75</v>
      </c>
      <c r="L13" s="26">
        <f t="shared" si="6"/>
        <v>41.25</v>
      </c>
      <c r="O13" s="27"/>
      <c r="P13" s="27">
        <f>O13/10</f>
        <v>0</v>
      </c>
      <c r="Q13" s="27">
        <v>5.36</v>
      </c>
      <c r="R13" s="27">
        <f t="shared" ref="R13:R17" si="27">P13/110</f>
        <v>0</v>
      </c>
      <c r="S13" s="27">
        <f t="shared" si="26"/>
        <v>0</v>
      </c>
      <c r="T13" s="28">
        <v>1.89</v>
      </c>
      <c r="U13" s="28">
        <f>O13*T13</f>
        <v>0</v>
      </c>
      <c r="Z13" s="27">
        <v>1100</v>
      </c>
      <c r="AA13" s="28">
        <f>Z13/10</f>
        <v>110</v>
      </c>
    </row>
    <row r="14" spans="1:30" ht="14.5" x14ac:dyDescent="0.3">
      <c r="A14" s="62"/>
      <c r="B14" s="29">
        <v>9</v>
      </c>
      <c r="C14" s="17" t="s">
        <v>27</v>
      </c>
      <c r="D14" s="18">
        <f t="shared" si="22"/>
        <v>1.7356828193832599</v>
      </c>
      <c r="E14" s="19">
        <v>1.5</v>
      </c>
      <c r="F14" s="20">
        <f t="shared" si="23"/>
        <v>0.23568281938325986</v>
      </c>
      <c r="G14" s="21">
        <v>113.5</v>
      </c>
      <c r="H14" s="22">
        <f t="shared" si="24"/>
        <v>56.75</v>
      </c>
      <c r="I14" s="110">
        <v>98.5</v>
      </c>
      <c r="J14" s="24"/>
      <c r="K14" s="25">
        <f t="shared" si="25"/>
        <v>170.25</v>
      </c>
      <c r="L14" s="26">
        <f t="shared" si="6"/>
        <v>-71.75</v>
      </c>
      <c r="O14" s="27">
        <v>1100</v>
      </c>
      <c r="P14" s="27">
        <f>O14/20</f>
        <v>55</v>
      </c>
      <c r="Q14" s="27">
        <v>5.72</v>
      </c>
      <c r="R14" s="27">
        <f t="shared" si="27"/>
        <v>0.5</v>
      </c>
      <c r="S14" s="27">
        <f t="shared" si="26"/>
        <v>326.09999999999997</v>
      </c>
      <c r="T14" s="28">
        <v>1.39</v>
      </c>
      <c r="U14" s="28">
        <f t="shared" ref="U14:U17" si="28">O14*T14</f>
        <v>1529</v>
      </c>
      <c r="Z14" s="27">
        <v>2200</v>
      </c>
      <c r="AA14" s="28">
        <f>Z14/20</f>
        <v>110</v>
      </c>
    </row>
    <row r="15" spans="1:30" ht="14.5" x14ac:dyDescent="0.3">
      <c r="A15" s="62"/>
      <c r="B15" s="29">
        <v>9</v>
      </c>
      <c r="C15" s="17" t="s">
        <v>28</v>
      </c>
      <c r="D15" s="18">
        <f t="shared" si="22"/>
        <v>1.4347949080622349</v>
      </c>
      <c r="E15" s="19">
        <v>1.5</v>
      </c>
      <c r="F15" s="20">
        <f t="shared" si="23"/>
        <v>-6.5205091937765136E-2</v>
      </c>
      <c r="G15" s="21">
        <v>1767.5</v>
      </c>
      <c r="H15" s="22">
        <f t="shared" si="24"/>
        <v>883.75</v>
      </c>
      <c r="I15" s="114">
        <v>1268</v>
      </c>
      <c r="J15" s="24"/>
      <c r="K15" s="25">
        <f t="shared" si="25"/>
        <v>2651.25</v>
      </c>
      <c r="L15" s="26">
        <f t="shared" si="6"/>
        <v>-1383.25</v>
      </c>
      <c r="O15" s="27">
        <v>3850</v>
      </c>
      <c r="P15" s="27">
        <f>O15/10</f>
        <v>385</v>
      </c>
      <c r="Q15" s="27">
        <v>5.36</v>
      </c>
      <c r="R15" s="63">
        <f t="shared" si="27"/>
        <v>3.5</v>
      </c>
      <c r="S15" s="63">
        <f t="shared" si="26"/>
        <v>2144.1</v>
      </c>
      <c r="T15" s="28">
        <v>2.5299999999999998</v>
      </c>
      <c r="U15" s="28">
        <f t="shared" si="28"/>
        <v>9740.5</v>
      </c>
      <c r="Z15" s="27">
        <v>1100</v>
      </c>
      <c r="AA15" s="28">
        <f>Z15/10</f>
        <v>110</v>
      </c>
    </row>
    <row r="16" spans="1:30" ht="14.5" x14ac:dyDescent="0.3">
      <c r="A16" s="62"/>
      <c r="B16" s="29">
        <v>9</v>
      </c>
      <c r="C16" s="17" t="s">
        <v>29</v>
      </c>
      <c r="D16" s="18">
        <f t="shared" si="22"/>
        <v>10.602739726027398</v>
      </c>
      <c r="E16" s="19">
        <v>1.5</v>
      </c>
      <c r="F16" s="20">
        <f t="shared" si="23"/>
        <v>9.1027397260273979</v>
      </c>
      <c r="G16" s="21">
        <v>36.5</v>
      </c>
      <c r="H16" s="22">
        <f t="shared" si="24"/>
        <v>18.25</v>
      </c>
      <c r="I16" s="110">
        <v>193.5</v>
      </c>
      <c r="J16" s="24"/>
      <c r="K16" s="25">
        <f t="shared" si="25"/>
        <v>54.75</v>
      </c>
      <c r="L16" s="26">
        <f t="shared" si="6"/>
        <v>138.75</v>
      </c>
      <c r="O16" s="27"/>
      <c r="P16" s="27">
        <f>O16/10</f>
        <v>0</v>
      </c>
      <c r="Q16" s="27">
        <v>5.36</v>
      </c>
      <c r="R16" s="63">
        <f t="shared" si="27"/>
        <v>0</v>
      </c>
      <c r="S16" s="63">
        <f t="shared" si="26"/>
        <v>0</v>
      </c>
      <c r="T16" s="28">
        <v>2.5299999999999998</v>
      </c>
      <c r="U16" s="28">
        <f t="shared" si="28"/>
        <v>0</v>
      </c>
      <c r="Z16" s="27">
        <v>1100</v>
      </c>
      <c r="AA16" s="28">
        <f>Z16/10</f>
        <v>110</v>
      </c>
    </row>
    <row r="17" spans="1:30" ht="15" thickBot="1" x14ac:dyDescent="0.35">
      <c r="A17" s="62"/>
      <c r="B17" s="31">
        <v>9</v>
      </c>
      <c r="C17" s="32" t="s">
        <v>30</v>
      </c>
      <c r="D17" s="33">
        <f t="shared" si="22"/>
        <v>177.6</v>
      </c>
      <c r="E17" s="34">
        <v>1.5</v>
      </c>
      <c r="F17" s="35">
        <f t="shared" si="23"/>
        <v>176.1</v>
      </c>
      <c r="G17" s="21">
        <v>1.25</v>
      </c>
      <c r="H17" s="22">
        <f t="shared" si="24"/>
        <v>0.625</v>
      </c>
      <c r="I17" s="110">
        <v>111</v>
      </c>
      <c r="J17" s="24"/>
      <c r="K17" s="25">
        <f t="shared" si="25"/>
        <v>1.875</v>
      </c>
      <c r="L17" s="26">
        <f t="shared" si="6"/>
        <v>109.125</v>
      </c>
      <c r="O17" s="27"/>
      <c r="P17" s="27">
        <f>O17/20</f>
        <v>0</v>
      </c>
      <c r="Q17" s="27">
        <v>5.72</v>
      </c>
      <c r="R17" s="27">
        <f t="shared" si="27"/>
        <v>0</v>
      </c>
      <c r="S17" s="27">
        <f t="shared" si="26"/>
        <v>0</v>
      </c>
      <c r="T17" s="28">
        <v>1.39</v>
      </c>
      <c r="U17" s="28">
        <f t="shared" si="28"/>
        <v>0</v>
      </c>
      <c r="Z17" s="27">
        <v>2200</v>
      </c>
      <c r="AA17" s="28">
        <f>Z17/20</f>
        <v>110</v>
      </c>
    </row>
    <row r="18" spans="1:30" ht="13.5" thickBot="1" x14ac:dyDescent="0.35">
      <c r="B18" s="64"/>
      <c r="C18" s="65"/>
      <c r="D18" s="66"/>
      <c r="E18" s="67"/>
      <c r="F18" s="68"/>
      <c r="G18" s="69"/>
      <c r="H18" s="70"/>
      <c r="I18" s="71"/>
      <c r="J18" s="71"/>
      <c r="K18" s="72"/>
      <c r="L18" s="73"/>
      <c r="M18" s="65"/>
      <c r="N18" s="74" t="s">
        <v>23</v>
      </c>
      <c r="O18" s="75">
        <f>SUM(O12:O17)</f>
        <v>4950</v>
      </c>
      <c r="P18" s="75">
        <f>SUM(P12:P17)</f>
        <v>440</v>
      </c>
      <c r="Q18" s="75"/>
      <c r="R18" s="76">
        <f>SUM(R12:R17)</f>
        <v>4</v>
      </c>
      <c r="S18" s="76">
        <f>SUM(S12:S17)</f>
        <v>2470.1999999999998</v>
      </c>
      <c r="T18" s="75"/>
      <c r="U18" s="75">
        <f>SUM(U12:U17)</f>
        <v>11269.5</v>
      </c>
      <c r="V18" s="77" t="s">
        <v>31</v>
      </c>
      <c r="Z18" s="55"/>
      <c r="AA18" s="56"/>
    </row>
    <row r="19" spans="1:30" x14ac:dyDescent="0.3">
      <c r="F19" s="78"/>
      <c r="G19" s="79"/>
      <c r="H19" s="80"/>
      <c r="L19" s="61"/>
    </row>
    <row r="20" spans="1:30" ht="14.5" x14ac:dyDescent="0.3">
      <c r="B20" s="29">
        <v>12</v>
      </c>
      <c r="C20" s="17" t="s">
        <v>32</v>
      </c>
      <c r="D20" s="18">
        <f t="shared" ref="D20:D33" si="29">I20/H20</f>
        <v>2.3039999999999998</v>
      </c>
      <c r="E20" s="19">
        <v>1.5</v>
      </c>
      <c r="F20" s="20">
        <f t="shared" ref="F20:F33" si="30">D20-E20</f>
        <v>0.80399999999999983</v>
      </c>
      <c r="G20" s="21">
        <f>AD20+AC20</f>
        <v>125</v>
      </c>
      <c r="H20" s="22">
        <f t="shared" ref="H20:H33" si="31">G20/2</f>
        <v>62.5</v>
      </c>
      <c r="I20" s="112">
        <v>144</v>
      </c>
      <c r="J20" s="81"/>
      <c r="K20" s="25">
        <f t="shared" ref="K20:K33" si="32">H20*3</f>
        <v>187.5</v>
      </c>
      <c r="L20" s="26">
        <f t="shared" si="6"/>
        <v>-43.5</v>
      </c>
      <c r="O20" s="118">
        <v>180</v>
      </c>
      <c r="P20" s="27">
        <f>O20/1</f>
        <v>180</v>
      </c>
      <c r="Q20" s="27">
        <v>5.2</v>
      </c>
      <c r="R20" s="27">
        <f>P20/90</f>
        <v>2</v>
      </c>
      <c r="S20" s="27">
        <f>(P20*Q20)+(R20*24.75)</f>
        <v>985.5</v>
      </c>
      <c r="T20" s="28">
        <v>4.09</v>
      </c>
      <c r="U20" s="28">
        <f t="shared" ref="U20:U33" si="33">O20*T20</f>
        <v>736.19999999999993</v>
      </c>
      <c r="Z20" s="28">
        <v>90</v>
      </c>
      <c r="AA20" s="28">
        <v>90</v>
      </c>
      <c r="AC20" s="112">
        <v>91</v>
      </c>
      <c r="AD20" s="110">
        <v>34</v>
      </c>
    </row>
    <row r="21" spans="1:30" ht="14.5" x14ac:dyDescent="0.3">
      <c r="B21" s="29">
        <v>12</v>
      </c>
      <c r="C21" s="17" t="s">
        <v>33</v>
      </c>
      <c r="D21" s="18">
        <f t="shared" si="29"/>
        <v>2.1111111111111112</v>
      </c>
      <c r="E21" s="19">
        <v>1.5</v>
      </c>
      <c r="F21" s="20">
        <f t="shared" si="30"/>
        <v>0.61111111111111116</v>
      </c>
      <c r="G21" s="21">
        <f t="shared" ref="G21:G33" si="34">AD21+AC21</f>
        <v>126</v>
      </c>
      <c r="H21" s="22">
        <f t="shared" si="31"/>
        <v>63</v>
      </c>
      <c r="I21" s="112">
        <v>133</v>
      </c>
      <c r="J21" s="81"/>
      <c r="K21" s="25">
        <f t="shared" si="32"/>
        <v>189</v>
      </c>
      <c r="L21" s="26">
        <f t="shared" si="6"/>
        <v>-56</v>
      </c>
      <c r="O21" s="118">
        <v>405</v>
      </c>
      <c r="P21" s="27">
        <f t="shared" ref="P21:P29" si="35">O21/1</f>
        <v>405</v>
      </c>
      <c r="Q21" s="27">
        <v>5.2</v>
      </c>
      <c r="R21" s="27">
        <f t="shared" ref="R21:R29" si="36">P21/90</f>
        <v>4.5</v>
      </c>
      <c r="S21" s="27">
        <f t="shared" ref="S21:S33" si="37">(P21*Q21)+(R21*24.75)</f>
        <v>2217.375</v>
      </c>
      <c r="T21" s="28">
        <v>4.09</v>
      </c>
      <c r="U21" s="28">
        <f t="shared" si="33"/>
        <v>1656.45</v>
      </c>
      <c r="Z21" s="28">
        <v>90</v>
      </c>
      <c r="AA21" s="28">
        <v>90</v>
      </c>
      <c r="AC21" s="112">
        <v>111</v>
      </c>
      <c r="AD21" s="110">
        <v>15</v>
      </c>
    </row>
    <row r="22" spans="1:30" ht="14.5" x14ac:dyDescent="0.3">
      <c r="B22" s="29">
        <v>6</v>
      </c>
      <c r="C22" s="17" t="s">
        <v>34</v>
      </c>
      <c r="D22" s="18">
        <f t="shared" si="29"/>
        <v>1.2142857142857142</v>
      </c>
      <c r="E22" s="19">
        <v>1.5</v>
      </c>
      <c r="F22" s="20">
        <f t="shared" si="30"/>
        <v>-0.28571428571428581</v>
      </c>
      <c r="G22" s="21">
        <f t="shared" si="34"/>
        <v>280</v>
      </c>
      <c r="H22" s="22">
        <f t="shared" si="31"/>
        <v>140</v>
      </c>
      <c r="I22" s="112">
        <v>170</v>
      </c>
      <c r="J22" s="81"/>
      <c r="K22" s="25">
        <f t="shared" si="32"/>
        <v>420</v>
      </c>
      <c r="L22" s="26">
        <f t="shared" si="6"/>
        <v>-250</v>
      </c>
      <c r="O22" s="119">
        <v>720</v>
      </c>
      <c r="P22" s="27">
        <f t="shared" si="35"/>
        <v>720</v>
      </c>
      <c r="Q22" s="27">
        <v>4.7</v>
      </c>
      <c r="R22" s="27">
        <f t="shared" si="36"/>
        <v>8</v>
      </c>
      <c r="S22" s="27">
        <f t="shared" si="37"/>
        <v>3582</v>
      </c>
      <c r="T22" s="28">
        <v>4.13</v>
      </c>
      <c r="U22" s="28">
        <f t="shared" si="33"/>
        <v>2973.6</v>
      </c>
      <c r="Z22" s="28">
        <v>90</v>
      </c>
      <c r="AA22" s="28">
        <v>90</v>
      </c>
      <c r="AC22" s="112">
        <v>183</v>
      </c>
      <c r="AD22" s="110">
        <v>97</v>
      </c>
    </row>
    <row r="23" spans="1:30" ht="14.5" x14ac:dyDescent="0.3">
      <c r="B23" s="29">
        <v>6</v>
      </c>
      <c r="C23" s="17" t="s">
        <v>35</v>
      </c>
      <c r="D23" s="18">
        <f t="shared" si="29"/>
        <v>1.1912225705329154</v>
      </c>
      <c r="E23" s="19">
        <v>1.5</v>
      </c>
      <c r="F23" s="20">
        <f t="shared" si="30"/>
        <v>-0.30877742946708464</v>
      </c>
      <c r="G23" s="21">
        <f t="shared" si="34"/>
        <v>319</v>
      </c>
      <c r="H23" s="22">
        <f t="shared" si="31"/>
        <v>159.5</v>
      </c>
      <c r="I23" s="112">
        <v>190</v>
      </c>
      <c r="J23" s="82"/>
      <c r="K23" s="25">
        <f t="shared" si="32"/>
        <v>478.5</v>
      </c>
      <c r="L23" s="26">
        <f t="shared" si="6"/>
        <v>-288.5</v>
      </c>
      <c r="O23" s="118">
        <v>405</v>
      </c>
      <c r="P23" s="27">
        <f t="shared" si="35"/>
        <v>405</v>
      </c>
      <c r="Q23" s="27">
        <v>4.7</v>
      </c>
      <c r="R23" s="27">
        <f t="shared" si="36"/>
        <v>4.5</v>
      </c>
      <c r="S23" s="27">
        <f t="shared" si="37"/>
        <v>2014.875</v>
      </c>
      <c r="T23" s="28">
        <v>5.41</v>
      </c>
      <c r="U23" s="28">
        <f t="shared" si="33"/>
        <v>2191.0500000000002</v>
      </c>
      <c r="Z23" s="28">
        <v>90</v>
      </c>
      <c r="AA23" s="28">
        <v>90</v>
      </c>
      <c r="AC23" s="112">
        <v>229</v>
      </c>
      <c r="AD23" s="110">
        <v>90</v>
      </c>
    </row>
    <row r="24" spans="1:30" ht="14.5" x14ac:dyDescent="0.3">
      <c r="B24" s="29">
        <v>6</v>
      </c>
      <c r="C24" s="17" t="s">
        <v>36</v>
      </c>
      <c r="D24" s="18">
        <f t="shared" si="29"/>
        <v>4.645161290322581</v>
      </c>
      <c r="E24" s="19">
        <v>1.5</v>
      </c>
      <c r="F24" s="20">
        <f t="shared" si="30"/>
        <v>3.145161290322581</v>
      </c>
      <c r="G24" s="21">
        <f t="shared" si="34"/>
        <v>62</v>
      </c>
      <c r="H24" s="22">
        <f t="shared" si="31"/>
        <v>31</v>
      </c>
      <c r="I24" s="112">
        <v>144</v>
      </c>
      <c r="J24" s="82"/>
      <c r="K24" s="25">
        <f t="shared" si="32"/>
        <v>93</v>
      </c>
      <c r="L24" s="26">
        <f t="shared" si="6"/>
        <v>51</v>
      </c>
      <c r="O24" s="119">
        <v>90</v>
      </c>
      <c r="P24" s="27">
        <f t="shared" si="35"/>
        <v>90</v>
      </c>
      <c r="Q24" s="27">
        <v>4.7</v>
      </c>
      <c r="R24" s="27">
        <f t="shared" si="36"/>
        <v>1</v>
      </c>
      <c r="S24" s="27">
        <f t="shared" si="37"/>
        <v>447.75</v>
      </c>
      <c r="T24" s="28">
        <v>5.93</v>
      </c>
      <c r="U24" s="28">
        <f t="shared" si="33"/>
        <v>533.69999999999993</v>
      </c>
      <c r="Z24" s="28">
        <v>90</v>
      </c>
      <c r="AA24" s="28">
        <v>90</v>
      </c>
      <c r="AC24" s="28">
        <v>54</v>
      </c>
      <c r="AD24" s="110">
        <v>8</v>
      </c>
    </row>
    <row r="25" spans="1:30" ht="14.5" x14ac:dyDescent="0.3">
      <c r="B25" s="29">
        <v>6</v>
      </c>
      <c r="C25" s="17" t="s">
        <v>37</v>
      </c>
      <c r="D25" s="18">
        <f t="shared" si="29"/>
        <v>1.875</v>
      </c>
      <c r="E25" s="19">
        <v>1.5</v>
      </c>
      <c r="F25" s="20">
        <f t="shared" si="30"/>
        <v>0.375</v>
      </c>
      <c r="G25" s="21">
        <f t="shared" si="34"/>
        <v>32</v>
      </c>
      <c r="H25" s="22">
        <f t="shared" si="31"/>
        <v>16</v>
      </c>
      <c r="I25" s="112">
        <v>30</v>
      </c>
      <c r="J25" s="82"/>
      <c r="K25" s="25">
        <f t="shared" si="32"/>
        <v>48</v>
      </c>
      <c r="L25" s="26">
        <f t="shared" si="6"/>
        <v>-18</v>
      </c>
      <c r="O25" s="118">
        <v>0</v>
      </c>
      <c r="P25" s="27">
        <f t="shared" si="35"/>
        <v>0</v>
      </c>
      <c r="Q25" s="27">
        <v>4.7</v>
      </c>
      <c r="R25" s="27">
        <f t="shared" si="36"/>
        <v>0</v>
      </c>
      <c r="S25" s="27">
        <f t="shared" si="37"/>
        <v>0</v>
      </c>
      <c r="T25" s="28">
        <v>2.98</v>
      </c>
      <c r="U25" s="28">
        <f t="shared" si="33"/>
        <v>0</v>
      </c>
      <c r="Z25" s="28">
        <v>90</v>
      </c>
      <c r="AA25" s="28">
        <v>90</v>
      </c>
      <c r="AC25" s="28">
        <v>5</v>
      </c>
      <c r="AD25" s="112">
        <v>27</v>
      </c>
    </row>
    <row r="26" spans="1:30" ht="14.5" x14ac:dyDescent="0.3">
      <c r="B26" s="29">
        <v>6</v>
      </c>
      <c r="C26" s="17" t="s">
        <v>38</v>
      </c>
      <c r="D26" s="18">
        <f t="shared" si="29"/>
        <v>0.24324324324324326</v>
      </c>
      <c r="E26" s="19">
        <v>1.5</v>
      </c>
      <c r="F26" s="20">
        <f t="shared" si="30"/>
        <v>-1.2567567567567568</v>
      </c>
      <c r="G26" s="21">
        <f t="shared" si="34"/>
        <v>74</v>
      </c>
      <c r="H26" s="22">
        <f t="shared" si="31"/>
        <v>37</v>
      </c>
      <c r="I26" s="112">
        <v>9</v>
      </c>
      <c r="J26" s="82"/>
      <c r="K26" s="25">
        <f t="shared" si="32"/>
        <v>111</v>
      </c>
      <c r="L26" s="26">
        <f t="shared" si="6"/>
        <v>-102</v>
      </c>
      <c r="O26" s="118">
        <v>90</v>
      </c>
      <c r="P26" s="27">
        <f t="shared" si="35"/>
        <v>90</v>
      </c>
      <c r="Q26" s="27">
        <v>4.7</v>
      </c>
      <c r="R26" s="27">
        <f t="shared" si="36"/>
        <v>1</v>
      </c>
      <c r="S26" s="27">
        <f t="shared" si="37"/>
        <v>447.75</v>
      </c>
      <c r="T26" s="28">
        <v>5.51</v>
      </c>
      <c r="U26" s="28">
        <f t="shared" si="33"/>
        <v>495.9</v>
      </c>
      <c r="Z26" s="28">
        <v>90</v>
      </c>
      <c r="AA26" s="28">
        <v>90</v>
      </c>
      <c r="AC26" s="28">
        <v>60</v>
      </c>
      <c r="AD26" s="110">
        <v>14</v>
      </c>
    </row>
    <row r="27" spans="1:30" ht="14.5" x14ac:dyDescent="0.3">
      <c r="B27" s="29">
        <v>6</v>
      </c>
      <c r="C27" s="17" t="s">
        <v>39</v>
      </c>
      <c r="D27" s="18">
        <f t="shared" si="29"/>
        <v>7</v>
      </c>
      <c r="E27" s="19">
        <v>1.5</v>
      </c>
      <c r="F27" s="20">
        <f t="shared" si="30"/>
        <v>5.5</v>
      </c>
      <c r="G27" s="21">
        <f t="shared" si="34"/>
        <v>18</v>
      </c>
      <c r="H27" s="22">
        <f t="shared" si="31"/>
        <v>9</v>
      </c>
      <c r="I27" s="112">
        <v>63</v>
      </c>
      <c r="J27" s="82"/>
      <c r="K27" s="25">
        <f t="shared" si="32"/>
        <v>27</v>
      </c>
      <c r="L27" s="26">
        <f t="shared" si="6"/>
        <v>36</v>
      </c>
      <c r="O27" s="27"/>
      <c r="P27" s="27">
        <f t="shared" si="35"/>
        <v>0</v>
      </c>
      <c r="Q27" s="27">
        <v>4.7</v>
      </c>
      <c r="R27" s="27">
        <f t="shared" si="36"/>
        <v>0</v>
      </c>
      <c r="S27" s="27">
        <f t="shared" si="37"/>
        <v>0</v>
      </c>
      <c r="T27" s="28">
        <v>5.87</v>
      </c>
      <c r="U27" s="28">
        <f t="shared" si="33"/>
        <v>0</v>
      </c>
      <c r="Z27" s="28">
        <v>90</v>
      </c>
      <c r="AA27" s="28">
        <v>90</v>
      </c>
      <c r="AC27" s="28">
        <v>18</v>
      </c>
      <c r="AD27" s="113"/>
    </row>
    <row r="28" spans="1:30" ht="14.5" x14ac:dyDescent="0.3">
      <c r="B28" s="29">
        <v>6</v>
      </c>
      <c r="C28" s="17" t="s">
        <v>40</v>
      </c>
      <c r="D28" s="18">
        <f t="shared" si="29"/>
        <v>11.218581392288458</v>
      </c>
      <c r="E28" s="19">
        <v>1.5</v>
      </c>
      <c r="F28" s="20">
        <f t="shared" si="30"/>
        <v>9.7185813922884581</v>
      </c>
      <c r="G28" s="21">
        <f t="shared" si="34"/>
        <v>121.584</v>
      </c>
      <c r="H28" s="22">
        <f t="shared" si="31"/>
        <v>60.792000000000002</v>
      </c>
      <c r="I28" s="112">
        <v>682</v>
      </c>
      <c r="J28" s="82"/>
      <c r="K28" s="25">
        <f t="shared" si="32"/>
        <v>182.376</v>
      </c>
      <c r="L28" s="26">
        <f t="shared" si="6"/>
        <v>499.62400000000002</v>
      </c>
      <c r="O28" s="27"/>
      <c r="P28" s="27">
        <f t="shared" si="35"/>
        <v>0</v>
      </c>
      <c r="Q28" s="27">
        <v>4.7</v>
      </c>
      <c r="R28" s="27">
        <f t="shared" si="36"/>
        <v>0</v>
      </c>
      <c r="S28" s="27">
        <f t="shared" si="37"/>
        <v>0</v>
      </c>
      <c r="T28" s="28">
        <v>4.54</v>
      </c>
      <c r="U28" s="28">
        <f t="shared" si="33"/>
        <v>0</v>
      </c>
      <c r="Z28" s="28">
        <v>90</v>
      </c>
      <c r="AA28" s="28">
        <v>90</v>
      </c>
      <c r="AC28" s="28">
        <v>120.584</v>
      </c>
      <c r="AD28" s="110">
        <v>1</v>
      </c>
    </row>
    <row r="29" spans="1:30" ht="14.5" x14ac:dyDescent="0.3">
      <c r="B29" s="29">
        <v>6</v>
      </c>
      <c r="C29" s="17" t="s">
        <v>41</v>
      </c>
      <c r="D29" s="18">
        <f t="shared" si="29"/>
        <v>0.97499999999999998</v>
      </c>
      <c r="E29" s="19">
        <v>1.5</v>
      </c>
      <c r="F29" s="20">
        <f t="shared" si="30"/>
        <v>-0.52500000000000002</v>
      </c>
      <c r="G29" s="21">
        <f t="shared" si="34"/>
        <v>160</v>
      </c>
      <c r="H29" s="22">
        <f t="shared" si="31"/>
        <v>80</v>
      </c>
      <c r="I29" s="112">
        <v>78</v>
      </c>
      <c r="J29" s="82"/>
      <c r="K29" s="25">
        <f t="shared" si="32"/>
        <v>240</v>
      </c>
      <c r="L29" s="26">
        <f t="shared" si="6"/>
        <v>-162</v>
      </c>
      <c r="O29" s="118">
        <v>0</v>
      </c>
      <c r="P29" s="27">
        <f t="shared" si="35"/>
        <v>0</v>
      </c>
      <c r="Q29" s="27">
        <v>4.7</v>
      </c>
      <c r="R29" s="27">
        <f t="shared" si="36"/>
        <v>0</v>
      </c>
      <c r="S29" s="27">
        <f t="shared" si="37"/>
        <v>0</v>
      </c>
      <c r="T29" s="28">
        <v>4.34</v>
      </c>
      <c r="U29" s="28">
        <f t="shared" si="33"/>
        <v>0</v>
      </c>
      <c r="Z29" s="28">
        <v>90</v>
      </c>
      <c r="AA29" s="28">
        <v>90</v>
      </c>
      <c r="AC29" s="28">
        <v>118</v>
      </c>
      <c r="AD29" s="110">
        <v>42</v>
      </c>
    </row>
    <row r="30" spans="1:30" x14ac:dyDescent="0.3">
      <c r="B30" s="29">
        <v>24</v>
      </c>
      <c r="C30" s="17" t="s">
        <v>42</v>
      </c>
      <c r="D30" s="18" t="e">
        <f t="shared" si="29"/>
        <v>#DIV/0!</v>
      </c>
      <c r="E30" s="19">
        <v>1.5</v>
      </c>
      <c r="F30" s="20" t="e">
        <f t="shared" si="30"/>
        <v>#DIV/0!</v>
      </c>
      <c r="G30" s="21">
        <f t="shared" si="34"/>
        <v>0</v>
      </c>
      <c r="H30" s="22">
        <f t="shared" si="31"/>
        <v>0</v>
      </c>
      <c r="I30" s="23"/>
      <c r="J30" s="82"/>
      <c r="K30" s="25">
        <f t="shared" si="32"/>
        <v>0</v>
      </c>
      <c r="L30" s="26">
        <f t="shared" si="6"/>
        <v>0</v>
      </c>
      <c r="O30" s="27"/>
      <c r="P30" s="27">
        <f t="shared" ref="P30:P31" si="38">O30/3</f>
        <v>0</v>
      </c>
      <c r="Q30" s="27">
        <v>14.37</v>
      </c>
      <c r="R30" s="83">
        <f t="shared" ref="R30:R31" si="39">P30/50</f>
        <v>0</v>
      </c>
      <c r="S30" s="83">
        <f t="shared" si="37"/>
        <v>0</v>
      </c>
      <c r="T30" s="28">
        <v>3.98</v>
      </c>
      <c r="U30" s="28">
        <f t="shared" si="33"/>
        <v>0</v>
      </c>
      <c r="Z30" s="28">
        <v>150</v>
      </c>
      <c r="AA30" s="28">
        <v>50</v>
      </c>
      <c r="AC30" s="28"/>
      <c r="AD30" s="28"/>
    </row>
    <row r="31" spans="1:30" x14ac:dyDescent="0.3">
      <c r="B31" s="84">
        <v>24</v>
      </c>
      <c r="C31" s="85" t="s">
        <v>43</v>
      </c>
      <c r="D31" s="86" t="e">
        <f t="shared" si="29"/>
        <v>#DIV/0!</v>
      </c>
      <c r="E31" s="87">
        <v>1.5</v>
      </c>
      <c r="F31" s="88" t="e">
        <f t="shared" si="30"/>
        <v>#DIV/0!</v>
      </c>
      <c r="G31" s="21">
        <f t="shared" si="34"/>
        <v>0</v>
      </c>
      <c r="H31" s="89">
        <f t="shared" si="31"/>
        <v>0</v>
      </c>
      <c r="I31" s="90"/>
      <c r="J31" s="91"/>
      <c r="K31" s="92">
        <f t="shared" si="32"/>
        <v>0</v>
      </c>
      <c r="L31" s="93">
        <f t="shared" si="6"/>
        <v>0</v>
      </c>
      <c r="O31" s="27"/>
      <c r="P31" s="27">
        <f t="shared" si="38"/>
        <v>0</v>
      </c>
      <c r="Q31" s="27">
        <v>14.37</v>
      </c>
      <c r="R31" s="83">
        <f t="shared" si="39"/>
        <v>0</v>
      </c>
      <c r="S31" s="83">
        <f t="shared" si="37"/>
        <v>0</v>
      </c>
      <c r="T31" s="28">
        <v>4</v>
      </c>
      <c r="U31" s="28">
        <f t="shared" si="33"/>
        <v>0</v>
      </c>
      <c r="Z31" s="28">
        <v>150</v>
      </c>
      <c r="AA31" s="28">
        <v>50</v>
      </c>
      <c r="AC31" s="28"/>
      <c r="AD31" s="28"/>
    </row>
    <row r="32" spans="1:30" ht="14.5" x14ac:dyDescent="0.3">
      <c r="B32" s="29">
        <v>6</v>
      </c>
      <c r="C32" s="17" t="s">
        <v>44</v>
      </c>
      <c r="D32" s="18" t="e">
        <f t="shared" si="29"/>
        <v>#DIV/0!</v>
      </c>
      <c r="E32" s="19">
        <v>1.5</v>
      </c>
      <c r="F32" s="20" t="e">
        <f t="shared" si="30"/>
        <v>#DIV/0!</v>
      </c>
      <c r="G32" s="21">
        <f t="shared" si="34"/>
        <v>0</v>
      </c>
      <c r="H32" s="22">
        <f t="shared" si="31"/>
        <v>0</v>
      </c>
      <c r="I32" s="23"/>
      <c r="J32" s="91"/>
      <c r="K32" s="25">
        <f t="shared" si="32"/>
        <v>0</v>
      </c>
      <c r="L32" s="26">
        <f>I32-K32</f>
        <v>0</v>
      </c>
      <c r="O32" s="27"/>
      <c r="P32" s="27">
        <f>O32/48</f>
        <v>0</v>
      </c>
      <c r="Q32" s="27">
        <v>12.77</v>
      </c>
      <c r="R32" s="94">
        <f>P32/54</f>
        <v>0</v>
      </c>
      <c r="S32" s="83">
        <f t="shared" si="37"/>
        <v>0</v>
      </c>
      <c r="T32" s="28">
        <v>0.31</v>
      </c>
      <c r="U32" s="28">
        <f t="shared" si="33"/>
        <v>0</v>
      </c>
      <c r="Z32" s="28"/>
      <c r="AA32" s="28"/>
      <c r="AD32" s="111"/>
    </row>
    <row r="33" spans="2:30" ht="15" thickBot="1" x14ac:dyDescent="0.35">
      <c r="B33" s="29">
        <v>6</v>
      </c>
      <c r="C33" s="17" t="s">
        <v>45</v>
      </c>
      <c r="D33" s="18" t="e">
        <f t="shared" si="29"/>
        <v>#DIV/0!</v>
      </c>
      <c r="E33" s="19">
        <v>1.5</v>
      </c>
      <c r="F33" s="20" t="e">
        <f t="shared" si="30"/>
        <v>#DIV/0!</v>
      </c>
      <c r="G33" s="21">
        <f t="shared" si="34"/>
        <v>0</v>
      </c>
      <c r="H33" s="22">
        <f t="shared" si="31"/>
        <v>0</v>
      </c>
      <c r="I33" s="23"/>
      <c r="J33" s="24"/>
      <c r="K33" s="25">
        <f t="shared" si="32"/>
        <v>0</v>
      </c>
      <c r="L33" s="26">
        <f>I33-K33</f>
        <v>0</v>
      </c>
      <c r="O33" s="27"/>
      <c r="P33" s="27">
        <f>O33/48</f>
        <v>0</v>
      </c>
      <c r="Q33" s="27">
        <v>12.77</v>
      </c>
      <c r="R33" s="94">
        <f>P33/54</f>
        <v>0</v>
      </c>
      <c r="S33" s="83">
        <f t="shared" si="37"/>
        <v>0</v>
      </c>
      <c r="T33" s="28">
        <v>0.3</v>
      </c>
      <c r="U33" s="28">
        <f t="shared" si="33"/>
        <v>0</v>
      </c>
      <c r="Z33" s="28"/>
      <c r="AA33" s="28"/>
      <c r="AD33" s="110"/>
    </row>
    <row r="34" spans="2:30" ht="13.5" thickBot="1" x14ac:dyDescent="0.35">
      <c r="B34" s="42"/>
      <c r="C34" s="43"/>
      <c r="D34" s="44"/>
      <c r="E34" s="45"/>
      <c r="F34" s="95"/>
      <c r="G34" s="47"/>
      <c r="H34" s="48"/>
      <c r="I34" s="49"/>
      <c r="J34" s="49"/>
      <c r="K34" s="50"/>
      <c r="L34" s="96"/>
      <c r="M34" s="43"/>
      <c r="N34" s="52" t="s">
        <v>23</v>
      </c>
      <c r="O34" s="53">
        <f>SUM(O20:O33)</f>
        <v>1890</v>
      </c>
      <c r="P34" s="53">
        <f>SUM(P20:P33)</f>
        <v>1890</v>
      </c>
      <c r="Q34" s="53"/>
      <c r="R34" s="97">
        <f>SUM(R20:R33)</f>
        <v>21</v>
      </c>
      <c r="S34" s="53">
        <f>SUM(S20:S33)</f>
        <v>9695.25</v>
      </c>
      <c r="T34" s="53"/>
      <c r="U34" s="53">
        <f>SUM(U20:U33)</f>
        <v>8586.9</v>
      </c>
      <c r="V34" s="54" t="s">
        <v>24</v>
      </c>
      <c r="Z34" s="55"/>
      <c r="AA34" s="56"/>
    </row>
    <row r="35" spans="2:30" ht="13.5" thickBot="1" x14ac:dyDescent="0.35">
      <c r="B35" s="57"/>
      <c r="C35" s="57"/>
      <c r="D35" s="57"/>
      <c r="E35" s="57"/>
      <c r="F35" s="57"/>
      <c r="G35" s="57"/>
      <c r="H35" s="57"/>
      <c r="I35" s="57"/>
      <c r="K35" s="57"/>
    </row>
    <row r="36" spans="2:30" x14ac:dyDescent="0.3">
      <c r="B36" s="57"/>
      <c r="C36" s="57"/>
      <c r="D36" s="57"/>
      <c r="E36" s="57"/>
      <c r="F36" s="57"/>
      <c r="G36" s="57"/>
      <c r="H36" s="57"/>
      <c r="I36" s="57"/>
      <c r="K36" s="57"/>
      <c r="V36" s="98" t="s">
        <v>24</v>
      </c>
    </row>
    <row r="37" spans="2:30" ht="13.5" thickBot="1" x14ac:dyDescent="0.35">
      <c r="N37" s="61" t="s">
        <v>46</v>
      </c>
      <c r="O37" s="61">
        <f>SUM(O10,O18,O34)</f>
        <v>13140</v>
      </c>
      <c r="P37" s="61">
        <f>SUM(P10,P18,P34)</f>
        <v>2855</v>
      </c>
      <c r="Q37" s="61"/>
      <c r="R37" s="61">
        <f>SUM(R10,R18,R34)</f>
        <v>33</v>
      </c>
      <c r="S37" s="61">
        <f>SUM(S10,S18,S34)</f>
        <v>18152.599999999999</v>
      </c>
      <c r="V37" s="99">
        <f>SUM(U10,U34)</f>
        <v>22752.9</v>
      </c>
    </row>
    <row r="38" spans="2:30" x14ac:dyDescent="0.3">
      <c r="V38" s="100" t="s">
        <v>31</v>
      </c>
    </row>
    <row r="39" spans="2:30" ht="13.5" thickBot="1" x14ac:dyDescent="0.35">
      <c r="V39" s="101">
        <f>U18</f>
        <v>11269.5</v>
      </c>
    </row>
  </sheetData>
  <pageMargins left="0.7" right="0.7" top="0.75" bottom="0.75" header="0.3" footer="0.3"/>
  <pageSetup paperSize="25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1"/>
  <sheetViews>
    <sheetView tabSelected="1" workbookViewId="0">
      <selection activeCell="C20" sqref="C20:C21"/>
    </sheetView>
  </sheetViews>
  <sheetFormatPr defaultColWidth="9.1796875" defaultRowHeight="13" x14ac:dyDescent="0.3"/>
  <cols>
    <col min="1" max="1" width="9.453125" style="1" bestFit="1" customWidth="1"/>
    <col min="2" max="2" width="8.26953125" style="1" bestFit="1" customWidth="1"/>
    <col min="3" max="3" width="44.6328125" style="1" customWidth="1"/>
    <col min="4" max="4" width="22.26953125" style="1" customWidth="1"/>
    <col min="5" max="5" width="21.54296875" style="1" customWidth="1"/>
    <col min="6" max="6" width="13.81640625" style="1" customWidth="1"/>
    <col min="7" max="7" width="9.1796875" style="1" customWidth="1"/>
    <col min="8" max="8" width="17.81640625" style="1" customWidth="1"/>
    <col min="9" max="36" width="9.1796875" style="1" customWidth="1"/>
    <col min="37" max="16384" width="9.1796875" style="1"/>
  </cols>
  <sheetData>
    <row r="1" spans="2:10" ht="15.5" x14ac:dyDescent="0.35">
      <c r="C1" s="131" t="s">
        <v>66</v>
      </c>
    </row>
    <row r="2" spans="2:10" s="2" customFormat="1" ht="39" x14ac:dyDescent="0.35">
      <c r="B2" s="120" t="s">
        <v>68</v>
      </c>
      <c r="C2" s="126" t="s">
        <v>65</v>
      </c>
      <c r="D2" s="121" t="s">
        <v>54</v>
      </c>
      <c r="E2" s="121" t="s">
        <v>55</v>
      </c>
      <c r="F2" s="120" t="s">
        <v>52</v>
      </c>
      <c r="G2" s="120" t="s">
        <v>53</v>
      </c>
      <c r="H2" s="120" t="s">
        <v>58</v>
      </c>
      <c r="I2" s="13" t="s">
        <v>62</v>
      </c>
      <c r="J2" s="13" t="s">
        <v>63</v>
      </c>
    </row>
    <row r="3" spans="2:10" x14ac:dyDescent="0.3">
      <c r="B3" s="16">
        <v>1</v>
      </c>
      <c r="C3" s="17" t="s">
        <v>56</v>
      </c>
      <c r="D3" s="122"/>
      <c r="E3" s="29">
        <f>D3/12</f>
        <v>0</v>
      </c>
      <c r="F3" s="127"/>
      <c r="G3" s="19"/>
      <c r="H3" s="19" t="s">
        <v>59</v>
      </c>
      <c r="I3" s="28"/>
      <c r="J3" s="28"/>
    </row>
    <row r="4" spans="2:10" s="57" customFormat="1" x14ac:dyDescent="0.3">
      <c r="B4" s="29">
        <f>B3+1</f>
        <v>2</v>
      </c>
      <c r="C4" s="17" t="s">
        <v>18</v>
      </c>
      <c r="D4" s="122">
        <v>5760</v>
      </c>
      <c r="E4" s="29">
        <f t="shared" ref="E4:E9" si="0">D4/12</f>
        <v>480</v>
      </c>
      <c r="F4" s="19">
        <f>D4/720</f>
        <v>8</v>
      </c>
      <c r="G4" s="19"/>
      <c r="H4" s="19" t="s">
        <v>61</v>
      </c>
      <c r="I4" s="17"/>
      <c r="J4" s="17"/>
    </row>
    <row r="5" spans="2:10" s="57" customFormat="1" x14ac:dyDescent="0.3">
      <c r="B5" s="29">
        <f t="shared" ref="B5:B9" si="1">B4+1</f>
        <v>3</v>
      </c>
      <c r="C5" s="17" t="s">
        <v>57</v>
      </c>
      <c r="D5" s="122"/>
      <c r="E5" s="29">
        <f t="shared" si="0"/>
        <v>0</v>
      </c>
      <c r="F5" s="19">
        <f>D5/720</f>
        <v>0</v>
      </c>
      <c r="G5" s="19"/>
      <c r="H5" s="19" t="s">
        <v>59</v>
      </c>
      <c r="I5" s="17"/>
      <c r="J5" s="17"/>
    </row>
    <row r="6" spans="2:10" s="57" customFormat="1" x14ac:dyDescent="0.3">
      <c r="B6" s="29">
        <f t="shared" si="1"/>
        <v>4</v>
      </c>
      <c r="C6" s="104" t="s">
        <v>20</v>
      </c>
      <c r="D6" s="129">
        <v>11520</v>
      </c>
      <c r="E6" s="29">
        <f t="shared" si="0"/>
        <v>960</v>
      </c>
      <c r="F6" s="19">
        <f>D6/720</f>
        <v>16</v>
      </c>
      <c r="G6" s="19"/>
      <c r="H6" s="19" t="s">
        <v>60</v>
      </c>
      <c r="I6" s="17"/>
      <c r="J6" s="17"/>
    </row>
    <row r="7" spans="2:10" x14ac:dyDescent="0.3">
      <c r="B7" s="29">
        <f t="shared" si="1"/>
        <v>5</v>
      </c>
      <c r="C7" s="17" t="s">
        <v>21</v>
      </c>
      <c r="D7" s="30"/>
      <c r="E7" s="29">
        <f t="shared" si="0"/>
        <v>0</v>
      </c>
      <c r="F7" s="27"/>
      <c r="G7" s="28"/>
      <c r="H7" s="13" t="s">
        <v>59</v>
      </c>
      <c r="I7" s="28"/>
      <c r="J7" s="28"/>
    </row>
    <row r="8" spans="2:10" x14ac:dyDescent="0.3">
      <c r="B8" s="29">
        <f t="shared" si="1"/>
        <v>6</v>
      </c>
      <c r="C8" s="32" t="s">
        <v>22</v>
      </c>
      <c r="D8" s="102"/>
      <c r="E8" s="29">
        <f t="shared" si="0"/>
        <v>0</v>
      </c>
      <c r="F8" s="27"/>
      <c r="G8" s="28"/>
      <c r="H8" s="13" t="s">
        <v>59</v>
      </c>
      <c r="I8" s="28"/>
      <c r="J8" s="28"/>
    </row>
    <row r="9" spans="2:10" ht="13.5" thickBot="1" x14ac:dyDescent="0.35">
      <c r="B9" s="29">
        <f t="shared" si="1"/>
        <v>7</v>
      </c>
      <c r="C9" s="32" t="s">
        <v>47</v>
      </c>
      <c r="D9" s="102"/>
      <c r="E9" s="29">
        <f t="shared" si="0"/>
        <v>0</v>
      </c>
      <c r="F9" s="27"/>
      <c r="G9" s="28"/>
      <c r="H9" s="13" t="s">
        <v>59</v>
      </c>
      <c r="I9" s="28"/>
      <c r="J9" s="28"/>
    </row>
    <row r="10" spans="2:10" ht="13.5" thickBot="1" x14ac:dyDescent="0.35">
      <c r="B10" s="125"/>
      <c r="C10" s="123"/>
      <c r="D10" s="124">
        <f>SUM(D3:D9)</f>
        <v>17280</v>
      </c>
      <c r="E10" s="124">
        <f>SUM(E3:E9)</f>
        <v>1440</v>
      </c>
      <c r="F10" s="128">
        <f>SUM(F3:F9)</f>
        <v>24</v>
      </c>
      <c r="G10" s="27"/>
      <c r="H10" s="27"/>
    </row>
    <row r="11" spans="2:10" x14ac:dyDescent="0.3">
      <c r="B11" s="57"/>
      <c r="C11" s="57"/>
      <c r="H11" s="130" t="s">
        <v>64</v>
      </c>
    </row>
    <row r="13" spans="2:10" ht="15.5" x14ac:dyDescent="0.35">
      <c r="C13" s="131" t="s">
        <v>67</v>
      </c>
    </row>
    <row r="14" spans="2:10" ht="39" x14ac:dyDescent="0.3">
      <c r="B14" s="120" t="s">
        <v>68</v>
      </c>
      <c r="C14" s="126" t="s">
        <v>65</v>
      </c>
      <c r="D14" s="121" t="s">
        <v>54</v>
      </c>
      <c r="E14" s="121" t="s">
        <v>55</v>
      </c>
      <c r="F14" s="120" t="s">
        <v>52</v>
      </c>
      <c r="G14" s="120" t="s">
        <v>53</v>
      </c>
      <c r="H14" s="120" t="s">
        <v>58</v>
      </c>
      <c r="I14" s="13" t="s">
        <v>62</v>
      </c>
      <c r="J14" s="13" t="s">
        <v>63</v>
      </c>
    </row>
    <row r="15" spans="2:10" x14ac:dyDescent="0.3">
      <c r="B15" s="29">
        <v>1</v>
      </c>
      <c r="C15" s="104" t="s">
        <v>20</v>
      </c>
      <c r="D15" s="129">
        <v>20160</v>
      </c>
      <c r="E15" s="29">
        <f t="shared" ref="E15" si="2">D15/12</f>
        <v>1680</v>
      </c>
      <c r="F15" s="19">
        <f>D15/720</f>
        <v>28</v>
      </c>
      <c r="G15" s="19"/>
      <c r="H15" s="19" t="s">
        <v>60</v>
      </c>
      <c r="I15" s="17"/>
      <c r="J15" s="17"/>
    </row>
    <row r="20" spans="3:3" ht="14.5" x14ac:dyDescent="0.3">
      <c r="C20" s="132"/>
    </row>
    <row r="21" spans="3:3" ht="14.5" x14ac:dyDescent="0.3">
      <c r="C21" s="1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Майонез</vt:lpstr>
      <vt:lpstr>по 1 паллете вес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2025-10-30T11:52:53Z</dcterms:modified>
</cp:coreProperties>
</file>