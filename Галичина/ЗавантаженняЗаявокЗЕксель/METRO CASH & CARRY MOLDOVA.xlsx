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https://metro.sharepoint.com/sites/SharepointFreshUltraFresh/Shared Documents/Common sourcing/Orders FZ externi EK 52, 55/EK 55/Galychyna/2025/"/>
    </mc:Choice>
  </mc:AlternateContent>
  <xr:revisionPtr revIDLastSave="2259" documentId="11_15DB86FE35ED281C25163F00C09F8097C0053693" xr6:coauthVersionLast="47" xr6:coauthVersionMax="47" xr10:uidLastSave="{EA3C4E6D-7305-408D-82E3-90B57D20C6F9}"/>
  <bookViews>
    <workbookView xWindow="28680" yWindow="-120" windowWidth="29040" windowHeight="15720" xr2:uid="{00000000-000D-0000-FFFF-FFFF00000000}"/>
  </bookViews>
  <sheets>
    <sheet name="GALYCHYNA(UA)_38248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13" i="1" l="1"/>
  <c r="AA14" i="1"/>
  <c r="AA15" i="1"/>
  <c r="AA16" i="1"/>
  <c r="AA17" i="1"/>
  <c r="AA18" i="1"/>
  <c r="AA19" i="1"/>
  <c r="AA20" i="1"/>
  <c r="AA21" i="1"/>
  <c r="AA12" i="1"/>
  <c r="S13" i="1"/>
  <c r="S14" i="1"/>
  <c r="S15" i="1"/>
  <c r="S16" i="1"/>
  <c r="S17" i="1"/>
  <c r="S18" i="1"/>
  <c r="S19" i="1"/>
  <c r="S20" i="1"/>
  <c r="S21" i="1"/>
  <c r="S22" i="1"/>
  <c r="S12" i="1"/>
  <c r="X41" i="1" l="1"/>
  <c r="O12" i="1"/>
  <c r="P12" i="1"/>
  <c r="Y12" i="1"/>
  <c r="Z12" i="1"/>
  <c r="O13" i="1"/>
  <c r="P13" i="1"/>
  <c r="Y13" i="1"/>
  <c r="Z13" i="1"/>
  <c r="O14" i="1"/>
  <c r="P14" i="1"/>
  <c r="Y14" i="1"/>
  <c r="Z14" i="1"/>
  <c r="O15" i="1"/>
  <c r="P15" i="1"/>
  <c r="Y15" i="1"/>
  <c r="Z15" i="1"/>
  <c r="O16" i="1"/>
  <c r="P16" i="1"/>
  <c r="Y16" i="1"/>
  <c r="Z16" i="1"/>
  <c r="O17" i="1"/>
  <c r="P17" i="1"/>
  <c r="Y17" i="1"/>
  <c r="Z17" i="1"/>
  <c r="O18" i="1"/>
  <c r="P18" i="1"/>
  <c r="Y18" i="1"/>
  <c r="Z18" i="1"/>
  <c r="O19" i="1"/>
  <c r="P19" i="1"/>
  <c r="Y19" i="1"/>
  <c r="Z19" i="1"/>
  <c r="O20" i="1"/>
  <c r="P20" i="1"/>
  <c r="Y20" i="1"/>
  <c r="Z20" i="1"/>
  <c r="O21" i="1"/>
  <c r="P21" i="1"/>
  <c r="Y21" i="1"/>
  <c r="Z21" i="1"/>
  <c r="M22" i="1"/>
  <c r="O22" i="1"/>
  <c r="P22" i="1"/>
  <c r="Y22" i="1"/>
  <c r="Z22" i="1"/>
  <c r="AA22" i="1"/>
  <c r="X23" i="1"/>
  <c r="M25" i="1"/>
  <c r="O25" i="1"/>
  <c r="P25" i="1"/>
  <c r="S25" i="1"/>
  <c r="Y25" i="1"/>
  <c r="Z25" i="1"/>
  <c r="AA25" i="1"/>
  <c r="M26" i="1"/>
  <c r="O26" i="1"/>
  <c r="P26" i="1"/>
  <c r="S26" i="1"/>
  <c r="Y26" i="1"/>
  <c r="Z26" i="1"/>
  <c r="AA26" i="1"/>
  <c r="M27" i="1"/>
  <c r="O27" i="1"/>
  <c r="P27" i="1"/>
  <c r="S27" i="1"/>
  <c r="Y27" i="1"/>
  <c r="Z27" i="1"/>
  <c r="AA27" i="1"/>
  <c r="M28" i="1"/>
  <c r="O28" i="1"/>
  <c r="P28" i="1"/>
  <c r="S28" i="1"/>
  <c r="Y28" i="1"/>
  <c r="Z28" i="1"/>
  <c r="AA28" i="1"/>
  <c r="M29" i="1"/>
  <c r="O29" i="1"/>
  <c r="P29" i="1"/>
  <c r="S29" i="1"/>
  <c r="Y29" i="1"/>
  <c r="Z29" i="1"/>
  <c r="AA29" i="1"/>
  <c r="M30" i="1"/>
  <c r="O30" i="1"/>
  <c r="P30" i="1"/>
  <c r="S30" i="1"/>
  <c r="Y30" i="1"/>
  <c r="Z30" i="1"/>
  <c r="AA30" i="1"/>
  <c r="M31" i="1"/>
  <c r="O31" i="1"/>
  <c r="P31" i="1"/>
  <c r="S31" i="1"/>
  <c r="Y31" i="1"/>
  <c r="Z31" i="1"/>
  <c r="AA31" i="1"/>
  <c r="M32" i="1"/>
  <c r="O32" i="1"/>
  <c r="P32" i="1"/>
  <c r="S32" i="1"/>
  <c r="Y32" i="1"/>
  <c r="Z32" i="1"/>
  <c r="AA32" i="1"/>
  <c r="M33" i="1"/>
  <c r="O33" i="1"/>
  <c r="P33" i="1"/>
  <c r="S33" i="1"/>
  <c r="Y33" i="1"/>
  <c r="Z33" i="1"/>
  <c r="AA33" i="1"/>
  <c r="M34" i="1"/>
  <c r="O34" i="1"/>
  <c r="P34" i="1"/>
  <c r="S34" i="1"/>
  <c r="Y34" i="1"/>
  <c r="Z34" i="1"/>
  <c r="AA34" i="1"/>
  <c r="M35" i="1"/>
  <c r="O35" i="1"/>
  <c r="P35" i="1"/>
  <c r="S35" i="1"/>
  <c r="Y35" i="1"/>
  <c r="Z35" i="1"/>
  <c r="AA35" i="1"/>
  <c r="M36" i="1"/>
  <c r="O36" i="1"/>
  <c r="P36" i="1"/>
  <c r="S36" i="1"/>
  <c r="Y36" i="1"/>
  <c r="Z36" i="1"/>
  <c r="AA36" i="1"/>
  <c r="M37" i="1"/>
  <c r="O37" i="1"/>
  <c r="P37" i="1"/>
  <c r="S37" i="1"/>
  <c r="Y37" i="1"/>
  <c r="Z37" i="1"/>
  <c r="AA37" i="1"/>
  <c r="Y38" i="1"/>
  <c r="Z38" i="1"/>
  <c r="AA38" i="1"/>
  <c r="Y39" i="1"/>
  <c r="Z39" i="1"/>
  <c r="AA39" i="1"/>
  <c r="AA23" i="1" l="1"/>
  <c r="AA41" i="1"/>
  <c r="Z23" i="1"/>
  <c r="Y41" i="1"/>
  <c r="Z41" i="1"/>
  <c r="Y23" i="1"/>
  <c r="X43" i="1"/>
  <c r="AA43" i="1" l="1"/>
  <c r="Z43" i="1"/>
  <c r="Y43" i="1"/>
</calcChain>
</file>

<file path=xl/sharedStrings.xml><?xml version="1.0" encoding="utf-8"?>
<sst xmlns="http://schemas.openxmlformats.org/spreadsheetml/2006/main" count="101" uniqueCount="100">
  <si>
    <t>Delivery Place</t>
  </si>
  <si>
    <t>ICS METRO CASH &amp; CARRY MOLDOVA SRL</t>
  </si>
  <si>
    <t>Invoice Address</t>
  </si>
  <si>
    <t>Str.Chisinau 5,MD 4839 CHISINAU</t>
  </si>
  <si>
    <t>Supplier</t>
  </si>
  <si>
    <t>GALYCHYNA</t>
  </si>
  <si>
    <t>Terms of Delivery</t>
  </si>
  <si>
    <t> </t>
  </si>
  <si>
    <t>2 weeks</t>
  </si>
  <si>
    <t>g.khlopyacha@galychyna.com.ua</t>
  </si>
  <si>
    <t>Order Date</t>
  </si>
  <si>
    <t>+38(096)8-222-353</t>
  </si>
  <si>
    <t>Loading Date</t>
  </si>
  <si>
    <t>Monday</t>
  </si>
  <si>
    <t>Delivery Date</t>
  </si>
  <si>
    <t>Wednesday</t>
  </si>
  <si>
    <t>Ianuarie 24</t>
  </si>
  <si>
    <t>from 07.03.24</t>
  </si>
  <si>
    <t>MGB Code</t>
  </si>
  <si>
    <t>Subsys Code</t>
  </si>
  <si>
    <t>supplier art no</t>
  </si>
  <si>
    <t>EAN Code</t>
  </si>
  <si>
    <t>Article Description ENG</t>
  </si>
  <si>
    <t>Article Description RO</t>
  </si>
  <si>
    <t>net weight, kg</t>
  </si>
  <si>
    <t>NNBP Metro UA, eur</t>
  </si>
  <si>
    <t>Target Euro Price DAP</t>
  </si>
  <si>
    <t>Supplier Euro Price DAP</t>
  </si>
  <si>
    <t>FCA price</t>
  </si>
  <si>
    <t>din 14/10</t>
  </si>
  <si>
    <t>diff</t>
  </si>
  <si>
    <t>MDL Price w/o Wat</t>
  </si>
  <si>
    <t>din 09/12</t>
  </si>
  <si>
    <t>From 15/04/2025</t>
  </si>
  <si>
    <t>Promo price</t>
  </si>
  <si>
    <t>pcs in box</t>
  </si>
  <si>
    <t>single units Pallet</t>
  </si>
  <si>
    <t>singal units per layer</t>
  </si>
  <si>
    <t>Order Q in single units</t>
  </si>
  <si>
    <t>Total pallets</t>
  </si>
  <si>
    <t>Total net weight</t>
  </si>
  <si>
    <t>Total Euro Value</t>
  </si>
  <si>
    <t>Validity term, in days</t>
  </si>
  <si>
    <t>Ultra-pasteurized cream TGA 10% fat, 500g TM Galychyna</t>
  </si>
  <si>
    <t>500G FRISCA 10% GALYCHYNA</t>
  </si>
  <si>
    <t>Ultra-pasteurized cream TGA 33% fat, 500g TM Galychyna</t>
  </si>
  <si>
    <t>500G FRISCA 33% GALYCHYNA</t>
  </si>
  <si>
    <t>Ultra-pasteurized cream TGA 33% fat, 950g TM Galychyna</t>
  </si>
  <si>
    <t>950G FRISCA 33% GALYCHYNA</t>
  </si>
  <si>
    <t>Ultra-pasteurized milk TGA 2.5% fat, 950g TM Galychyna</t>
  </si>
  <si>
    <t>950G LAPTE UHT 2.5% GALYCHYNA</t>
  </si>
  <si>
    <t>Ultra-pasteurized milk TGA 3,2% fat, 950g TM Galychyna</t>
  </si>
  <si>
    <t>950G LAPTE UHT 3.2% GALYCHYNA</t>
  </si>
  <si>
    <t>Lactose-free ultra-pasteurized milk TGA 2.5% fat, 950g TM Galychyna</t>
  </si>
  <si>
    <t>950G LAPTE UHT F/LACT 2.5% GALYCH</t>
  </si>
  <si>
    <t>Ultra-pasteurized milk  TFA 2.5% fat, 900 g  TM METRO Chef</t>
  </si>
  <si>
    <t>900G LAPTE UHT 2.5% TFA MC</t>
  </si>
  <si>
    <t>Ultra-pasteurized milk TGA 2.5% fat, 950g TM Rioba</t>
  </si>
  <si>
    <t>950G LAPTE UHT 2.5% RIOBA</t>
  </si>
  <si>
    <t>Ultra-pasteurized milk TGA 3,2% fat, 950g TM Rioba</t>
  </si>
  <si>
    <t>950G LAPTE UHT 3.2% RIOBA</t>
  </si>
  <si>
    <t>Lactose-free ultra-pasteurized milk TGA 2.5% fat, 950g TM Rioba</t>
  </si>
  <si>
    <t>950G LAPTE UHT F/LACT 2.5% RIOBA</t>
  </si>
  <si>
    <t>КРЕМ КОНДИТЕРСКИЙ  ProFood  ДЛЯ  СБИВАНИЯ,  26%,  растительный</t>
  </si>
  <si>
    <t>1KG GRAS COMPUS VEGETAL 26% PROFOOD</t>
  </si>
  <si>
    <t>TOTAL milk:</t>
  </si>
  <si>
    <t>Chilled assortment</t>
  </si>
  <si>
    <t>Йогурт  "Карпатський" ПЕТ безлактозний 2,2%  300 г без сахара Галичина</t>
  </si>
  <si>
    <t>300G IAURT F/LACT 2,2% GALYCHINA</t>
  </si>
  <si>
    <t>Йогурт  "Карпатський" ст. безлактозний 3,0 %  280 г без сахара Галичина</t>
  </si>
  <si>
    <t>280G IAURT F/LACTOZA 3% GALYCHINA</t>
  </si>
  <si>
    <t>Йогурт ПЕТ 2,2%  300г Малина Галичина</t>
  </si>
  <si>
    <t>300G IAURT ZMEURA 2,2% GALYCHINA</t>
  </si>
  <si>
    <t>Йогурт ПЕТ 2,2%  300г Черника Галичина</t>
  </si>
  <si>
    <t>300G IAURT AFINE 2,2% GALYCHINA</t>
  </si>
  <si>
    <t>Йогурт ПЕТ 2,2%  300г Вишня Галичина</t>
  </si>
  <si>
    <t>300G IAURT VISINE 2,2% GALYCHINA</t>
  </si>
  <si>
    <t>Йогурт ПЕТ 2,2%  300г Ананас Галичина</t>
  </si>
  <si>
    <t>300G IAURT ANANAS 2,2% GALYCHINA</t>
  </si>
  <si>
    <t>Йогурт ПЕТ 2,2%  300г Манго Галичина</t>
  </si>
  <si>
    <t>300G IAURT MANGO 2,2% GALYCHINA</t>
  </si>
  <si>
    <t>Йогурт ПЕТ 2,2%  300г Манго-Папайя Галичина</t>
  </si>
  <si>
    <t>300G IAURT MANGO-PAPYA 2,2% GALYCH</t>
  </si>
  <si>
    <t>Йогурт  стакан десертний 2,2% 250 г Ананас Галичина</t>
  </si>
  <si>
    <t>250G IAURT ANANAS 2.2% GALYCHINA</t>
  </si>
  <si>
    <t>Йогурт  стакан десертний 2,2% 250 г Манго Галичина</t>
  </si>
  <si>
    <t>250G IAURT MANGO 2.2% GALYCHINA</t>
  </si>
  <si>
    <t>Йогурт  стакан десертний 2,2% 250 г Манго-Маракуйя Галичина</t>
  </si>
  <si>
    <t>250G IAURT MANG-FR.PAS 2.2% GALYCHINA</t>
  </si>
  <si>
    <t>Йогурт  "Карпатский" 3,0% ведро 1000 г без сахара Галичина</t>
  </si>
  <si>
    <t>1KG IAURT CARPAT 3% GALYCHINA</t>
  </si>
  <si>
    <t>Йогурт  "Карпатский" 3,0% ведро 500 г без сазхара Галичина</t>
  </si>
  <si>
    <t>500G IAURT CARPAT 3% GALYCHINA</t>
  </si>
  <si>
    <t>Йогурт  "Карпатський" ПЕТ  300 г без сахара Галичина</t>
  </si>
  <si>
    <t xml:space="preserve">300G IAURT BAUT FARA ZAHAR 2,2% GALYCHINA </t>
  </si>
  <si>
    <t>Йогурт  "Карпатський" ст. 3,0 %  280 г без сахара Галичина</t>
  </si>
  <si>
    <t>280G IAURT FARA ZAHAR 3% GALYCHINA</t>
  </si>
  <si>
    <t>TOTAL chilled:</t>
  </si>
  <si>
    <t>TOTAL:</t>
  </si>
  <si>
    <t>week 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</si>
</sst>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[$€-1]"/>
  </numFmts>
  <fonts count="29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  <font>
      <sz val="11"/>
      <color theme="0" tint="-0.34998626667073579"/>
      <name val="Calibri"/>
      <family val="2"/>
      <scheme val="minor"/>
    </font>
    <font>
      <sz val="11"/>
      <name val="Calibri"/>
      <family val="2"/>
      <scheme val="minor"/>
    </font>
    <font>
      <b/>
      <sz val="9"/>
      <color rgb="FFFFFFFF"/>
      <name val="Calibri"/>
      <family val="2"/>
      <charset val="204"/>
    </font>
    <font>
      <b/>
      <sz val="9"/>
      <color rgb="FF002060"/>
      <name val="Calibri"/>
      <family val="2"/>
      <charset val="204"/>
    </font>
    <font>
      <sz val="11"/>
      <color rgb="FF000000"/>
      <name val="Calibri"/>
      <family val="2"/>
      <charset val="204"/>
    </font>
    <font>
      <sz val="36"/>
      <color rgb="FFE6AF00"/>
      <name val="Britannic Bold"/>
      <family val="2"/>
    </font>
    <font>
      <sz val="9"/>
      <color rgb="FFFF0000"/>
      <name val="Calibri"/>
      <family val="2"/>
      <charset val="204"/>
    </font>
    <font>
      <sz val="9"/>
      <color rgb="FF002060"/>
      <name val="Calibri"/>
      <family val="2"/>
      <charset val="204"/>
    </font>
    <font>
      <sz val="9"/>
      <color rgb="FF000000"/>
      <name val="Calibri"/>
      <family val="2"/>
      <charset val="204"/>
    </font>
    <font>
      <b/>
      <sz val="9"/>
      <color theme="0"/>
      <name val="Calibri"/>
      <family val="2"/>
      <charset val="238"/>
      <scheme val="minor"/>
    </font>
    <font>
      <b/>
      <sz val="9"/>
      <color rgb="FFFF0000"/>
      <name val="Calibri"/>
      <family val="2"/>
      <charset val="204"/>
    </font>
    <font>
      <sz val="9"/>
      <color rgb="FFFF0000"/>
      <name val="Calibri"/>
      <family val="2"/>
      <charset val="238"/>
      <scheme val="minor"/>
    </font>
    <font>
      <sz val="9"/>
      <color theme="1"/>
      <name val="Calibri"/>
      <family val="2"/>
      <charset val="238"/>
      <scheme val="minor"/>
    </font>
    <font>
      <sz val="9"/>
      <color rgb="FFFFFFFF"/>
      <name val="Calibri"/>
      <family val="2"/>
      <charset val="204"/>
    </font>
    <font>
      <sz val="8"/>
      <color theme="1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sz val="11"/>
      <name val="Calibri"/>
      <family val="2"/>
      <charset val="204"/>
      <scheme val="minor"/>
    </font>
    <font>
      <sz val="8"/>
      <color theme="0" tint="-0.34998626667073579"/>
      <name val="Calibri"/>
      <family val="2"/>
      <scheme val="minor"/>
    </font>
    <font>
      <sz val="11"/>
      <color theme="0" tint="-0.34998626667073579"/>
      <name val="Calibri"/>
      <family val="2"/>
      <charset val="238"/>
      <scheme val="minor"/>
    </font>
    <font>
      <sz val="8"/>
      <color theme="0" tint="-0.34998626667073579"/>
      <name val="Calibri"/>
      <family val="2"/>
      <charset val="238"/>
      <scheme val="minor"/>
    </font>
    <font>
      <sz val="11"/>
      <color theme="0"/>
      <name val="Calibri"/>
      <family val="2"/>
      <scheme val="minor"/>
    </font>
    <font>
      <sz val="8"/>
      <color theme="0"/>
      <name val="Calibri"/>
      <family val="2"/>
      <scheme val="minor"/>
    </font>
    <font>
      <b/>
      <sz val="14"/>
      <color theme="0"/>
      <name val="Calibri"/>
      <family val="2"/>
      <charset val="204"/>
      <scheme val="minor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charset val="204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000068"/>
        <bgColor rgb="FF000000"/>
      </patternFill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F0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rgb="FFD9D9D9"/>
      </right>
      <top/>
      <bottom/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rgb="FFD9D9D9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9">
    <xf numFmtId="0" fontId="0" fillId="0" borderId="0" xfId="0"/>
    <xf numFmtId="0" fontId="3" fillId="0" borderId="0" xfId="0" applyFont="1"/>
    <xf numFmtId="0" fontId="4" fillId="0" borderId="0" xfId="0" applyFont="1"/>
    <xf numFmtId="1" fontId="0" fillId="0" borderId="0" xfId="0" applyNumberFormat="1"/>
    <xf numFmtId="10" fontId="0" fillId="0" borderId="0" xfId="0" applyNumberFormat="1"/>
    <xf numFmtId="2" fontId="0" fillId="0" borderId="0" xfId="0" applyNumberFormat="1"/>
    <xf numFmtId="0" fontId="6" fillId="0" borderId="0" xfId="0" applyFont="1"/>
    <xf numFmtId="1" fontId="6" fillId="0" borderId="0" xfId="0" applyNumberFormat="1" applyFont="1"/>
    <xf numFmtId="0" fontId="7" fillId="0" borderId="0" xfId="0" applyFont="1"/>
    <xf numFmtId="10" fontId="7" fillId="0" borderId="0" xfId="0" applyNumberFormat="1" applyFont="1"/>
    <xf numFmtId="2" fontId="7" fillId="0" borderId="0" xfId="0" applyNumberFormat="1" applyFont="1"/>
    <xf numFmtId="0" fontId="8" fillId="0" borderId="0" xfId="0" applyFont="1"/>
    <xf numFmtId="2" fontId="8" fillId="0" borderId="0" xfId="0" applyNumberFormat="1" applyFont="1"/>
    <xf numFmtId="0" fontId="8" fillId="0" borderId="5" xfId="0" applyFont="1" applyBorder="1"/>
    <xf numFmtId="0" fontId="9" fillId="0" borderId="6" xfId="0" applyFont="1" applyBorder="1"/>
    <xf numFmtId="1" fontId="10" fillId="0" borderId="7" xfId="0" applyNumberFormat="1" applyFont="1" applyBorder="1"/>
    <xf numFmtId="0" fontId="11" fillId="0" borderId="0" xfId="0" applyFont="1"/>
    <xf numFmtId="14" fontId="13" fillId="0" borderId="6" xfId="0" applyNumberFormat="1" applyFont="1" applyBorder="1" applyAlignment="1">
      <alignment horizontal="center" vertical="center"/>
    </xf>
    <xf numFmtId="1" fontId="14" fillId="0" borderId="8" xfId="0" applyNumberFormat="1" applyFont="1" applyBorder="1" applyAlignment="1">
      <alignment horizontal="right" vertical="center"/>
    </xf>
    <xf numFmtId="0" fontId="15" fillId="0" borderId="0" xfId="0" applyFont="1" applyAlignment="1">
      <alignment horizontal="left"/>
    </xf>
    <xf numFmtId="14" fontId="13" fillId="0" borderId="11" xfId="0" applyNumberFormat="1" applyFont="1" applyBorder="1" applyAlignment="1">
      <alignment horizontal="center" vertical="center"/>
    </xf>
    <xf numFmtId="1" fontId="14" fillId="0" borderId="0" xfId="0" applyNumberFormat="1" applyFont="1" applyAlignment="1">
      <alignment horizontal="right" vertical="center"/>
    </xf>
    <xf numFmtId="2" fontId="1" fillId="0" borderId="0" xfId="0" applyNumberFormat="1" applyFont="1"/>
    <xf numFmtId="10" fontId="1" fillId="0" borderId="0" xfId="0" applyNumberFormat="1" applyFont="1"/>
    <xf numFmtId="0" fontId="16" fillId="2" borderId="12" xfId="0" applyFont="1" applyFill="1" applyBorder="1" applyAlignment="1">
      <alignment vertical="center" wrapText="1"/>
    </xf>
    <xf numFmtId="0" fontId="16" fillId="2" borderId="13" xfId="0" applyFont="1" applyFill="1" applyBorder="1" applyAlignment="1">
      <alignment vertical="center" wrapText="1"/>
    </xf>
    <xf numFmtId="1" fontId="16" fillId="2" borderId="13" xfId="0" applyNumberFormat="1" applyFont="1" applyFill="1" applyBorder="1" applyAlignment="1">
      <alignment vertical="center" wrapText="1"/>
    </xf>
    <xf numFmtId="0" fontId="16" fillId="2" borderId="13" xfId="0" applyFont="1" applyFill="1" applyBorder="1" applyAlignment="1">
      <alignment vertical="center"/>
    </xf>
    <xf numFmtId="0" fontId="16" fillId="2" borderId="13" xfId="0" applyFont="1" applyFill="1" applyBorder="1" applyAlignment="1">
      <alignment horizontal="center" vertical="center"/>
    </xf>
    <xf numFmtId="0" fontId="16" fillId="2" borderId="13" xfId="0" applyFont="1" applyFill="1" applyBorder="1" applyAlignment="1">
      <alignment horizontal="center" vertical="center" wrapText="1"/>
    </xf>
    <xf numFmtId="10" fontId="16" fillId="2" borderId="13" xfId="0" applyNumberFormat="1" applyFont="1" applyFill="1" applyBorder="1" applyAlignment="1">
      <alignment horizontal="center" vertical="center" wrapText="1"/>
    </xf>
    <xf numFmtId="10" fontId="16" fillId="2" borderId="13" xfId="0" applyNumberFormat="1" applyFont="1" applyFill="1" applyBorder="1" applyAlignment="1">
      <alignment vertical="center" wrapText="1"/>
    </xf>
    <xf numFmtId="2" fontId="16" fillId="2" borderId="13" xfId="0" applyNumberFormat="1" applyFont="1" applyFill="1" applyBorder="1" applyAlignment="1">
      <alignment horizontal="center" vertical="center" wrapText="1"/>
    </xf>
    <xf numFmtId="0" fontId="4" fillId="0" borderId="13" xfId="0" applyFont="1" applyBorder="1"/>
    <xf numFmtId="0" fontId="0" fillId="0" borderId="13" xfId="0" applyBorder="1"/>
    <xf numFmtId="1" fontId="17" fillId="0" borderId="13" xfId="0" applyNumberFormat="1" applyFont="1" applyBorder="1"/>
    <xf numFmtId="0" fontId="17" fillId="0" borderId="13" xfId="0" applyFont="1" applyBorder="1"/>
    <xf numFmtId="2" fontId="0" fillId="0" borderId="13" xfId="0" applyNumberFormat="1" applyBorder="1"/>
    <xf numFmtId="164" fontId="18" fillId="4" borderId="13" xfId="0" applyNumberFormat="1" applyFont="1" applyFill="1" applyBorder="1"/>
    <xf numFmtId="164" fontId="1" fillId="0" borderId="13" xfId="0" applyNumberFormat="1" applyFont="1" applyBorder="1"/>
    <xf numFmtId="10" fontId="1" fillId="0" borderId="13" xfId="0" applyNumberFormat="1" applyFont="1" applyBorder="1"/>
    <xf numFmtId="0" fontId="19" fillId="5" borderId="13" xfId="0" applyFont="1" applyFill="1" applyBorder="1"/>
    <xf numFmtId="164" fontId="0" fillId="0" borderId="13" xfId="0" applyNumberFormat="1" applyBorder="1"/>
    <xf numFmtId="164" fontId="0" fillId="0" borderId="0" xfId="0" applyNumberFormat="1"/>
    <xf numFmtId="0" fontId="0" fillId="6" borderId="13" xfId="0" applyFill="1" applyBorder="1"/>
    <xf numFmtId="0" fontId="3" fillId="0" borderId="13" xfId="0" applyFont="1" applyBorder="1"/>
    <xf numFmtId="1" fontId="20" fillId="0" borderId="13" xfId="0" applyNumberFormat="1" applyFont="1" applyBorder="1"/>
    <xf numFmtId="0" fontId="20" fillId="0" borderId="13" xfId="0" applyFont="1" applyBorder="1"/>
    <xf numFmtId="2" fontId="3" fillId="0" borderId="13" xfId="0" applyNumberFormat="1" applyFont="1" applyBorder="1"/>
    <xf numFmtId="164" fontId="3" fillId="4" borderId="13" xfId="0" applyNumberFormat="1" applyFont="1" applyFill="1" applyBorder="1"/>
    <xf numFmtId="164" fontId="3" fillId="0" borderId="13" xfId="0" applyNumberFormat="1" applyFont="1" applyBorder="1"/>
    <xf numFmtId="0" fontId="4" fillId="5" borderId="13" xfId="0" applyFont="1" applyFill="1" applyBorder="1"/>
    <xf numFmtId="0" fontId="3" fillId="6" borderId="13" xfId="0" applyFont="1" applyFill="1" applyBorder="1"/>
    <xf numFmtId="0" fontId="4" fillId="7" borderId="13" xfId="0" applyFont="1" applyFill="1" applyBorder="1"/>
    <xf numFmtId="0" fontId="0" fillId="7" borderId="13" xfId="0" applyFill="1" applyBorder="1"/>
    <xf numFmtId="0" fontId="21" fillId="0" borderId="13" xfId="0" applyFont="1" applyBorder="1"/>
    <xf numFmtId="1" fontId="22" fillId="0" borderId="13" xfId="0" applyNumberFormat="1" applyFont="1" applyBorder="1"/>
    <xf numFmtId="0" fontId="22" fillId="0" borderId="13" xfId="0" applyFont="1" applyBorder="1"/>
    <xf numFmtId="2" fontId="21" fillId="0" borderId="13" xfId="0" applyNumberFormat="1" applyFont="1" applyBorder="1"/>
    <xf numFmtId="164" fontId="21" fillId="0" borderId="13" xfId="0" applyNumberFormat="1" applyFont="1" applyBorder="1"/>
    <xf numFmtId="0" fontId="0" fillId="8" borderId="13" xfId="0" applyFill="1" applyBorder="1"/>
    <xf numFmtId="0" fontId="23" fillId="3" borderId="0" xfId="0" applyFont="1" applyFill="1"/>
    <xf numFmtId="1" fontId="24" fillId="3" borderId="0" xfId="0" applyNumberFormat="1" applyFont="1" applyFill="1"/>
    <xf numFmtId="0" fontId="24" fillId="3" borderId="0" xfId="0" applyFont="1" applyFill="1"/>
    <xf numFmtId="2" fontId="23" fillId="3" borderId="0" xfId="0" applyNumberFormat="1" applyFont="1" applyFill="1"/>
    <xf numFmtId="164" fontId="23" fillId="3" borderId="0" xfId="0" applyNumberFormat="1" applyFont="1" applyFill="1"/>
    <xf numFmtId="10" fontId="23" fillId="3" borderId="0" xfId="0" applyNumberFormat="1" applyFont="1" applyFill="1"/>
    <xf numFmtId="0" fontId="4" fillId="9" borderId="0" xfId="0" applyFont="1" applyFill="1"/>
    <xf numFmtId="0" fontId="0" fillId="9" borderId="0" xfId="0" applyFill="1"/>
    <xf numFmtId="1" fontId="17" fillId="9" borderId="0" xfId="0" applyNumberFormat="1" applyFont="1" applyFill="1"/>
    <xf numFmtId="0" fontId="25" fillId="9" borderId="0" xfId="0" applyFont="1" applyFill="1"/>
    <xf numFmtId="2" fontId="0" fillId="9" borderId="0" xfId="0" applyNumberFormat="1" applyFill="1"/>
    <xf numFmtId="164" fontId="18" fillId="9" borderId="0" xfId="0" applyNumberFormat="1" applyFont="1" applyFill="1"/>
    <xf numFmtId="164" fontId="1" fillId="9" borderId="0" xfId="0" applyNumberFormat="1" applyFont="1" applyFill="1"/>
    <xf numFmtId="10" fontId="1" fillId="9" borderId="0" xfId="0" applyNumberFormat="1" applyFont="1" applyFill="1"/>
    <xf numFmtId="10" fontId="0" fillId="9" borderId="0" xfId="0" applyNumberFormat="1" applyFill="1"/>
    <xf numFmtId="164" fontId="0" fillId="9" borderId="0" xfId="0" applyNumberFormat="1" applyFill="1"/>
    <xf numFmtId="1" fontId="26" fillId="0" borderId="13" xfId="0" applyNumberFormat="1" applyFont="1" applyBorder="1" applyAlignment="1">
      <alignment wrapText="1"/>
    </xf>
    <xf numFmtId="0" fontId="26" fillId="0" borderId="13" xfId="0" applyFont="1" applyBorder="1"/>
    <xf numFmtId="2" fontId="4" fillId="0" borderId="13" xfId="0" applyNumberFormat="1" applyFont="1" applyBorder="1"/>
    <xf numFmtId="164" fontId="4" fillId="4" borderId="13" xfId="0" applyNumberFormat="1" applyFont="1" applyFill="1" applyBorder="1"/>
    <xf numFmtId="164" fontId="4" fillId="0" borderId="13" xfId="0" applyNumberFormat="1" applyFont="1" applyBorder="1"/>
    <xf numFmtId="164" fontId="4" fillId="0" borderId="0" xfId="0" applyNumberFormat="1" applyFont="1"/>
    <xf numFmtId="0" fontId="27" fillId="0" borderId="13" xfId="0" applyFont="1" applyBorder="1"/>
    <xf numFmtId="0" fontId="2" fillId="3" borderId="0" xfId="0" applyFont="1" applyFill="1"/>
    <xf numFmtId="1" fontId="2" fillId="3" borderId="0" xfId="0" applyNumberFormat="1" applyFont="1" applyFill="1"/>
    <xf numFmtId="10" fontId="2" fillId="3" borderId="0" xfId="0" applyNumberFormat="1" applyFont="1" applyFill="1"/>
    <xf numFmtId="2" fontId="2" fillId="3" borderId="0" xfId="0" applyNumberFormat="1" applyFont="1" applyFill="1"/>
    <xf numFmtId="164" fontId="2" fillId="3" borderId="0" xfId="0" applyNumberFormat="1" applyFont="1" applyFill="1"/>
    <xf numFmtId="0" fontId="28" fillId="3" borderId="0" xfId="0" applyFont="1" applyFill="1"/>
    <xf numFmtId="0" fontId="0" fillId="3" borderId="0" xfId="0" applyFill="1"/>
    <xf numFmtId="1" fontId="0" fillId="3" borderId="0" xfId="0" applyNumberFormat="1" applyFill="1"/>
    <xf numFmtId="10" fontId="0" fillId="3" borderId="0" xfId="0" applyNumberFormat="1" applyFill="1"/>
    <xf numFmtId="4" fontId="2" fillId="3" borderId="0" xfId="0" applyNumberFormat="1" applyFont="1" applyFill="1"/>
    <xf numFmtId="164" fontId="18" fillId="0" borderId="0" xfId="0" applyNumberFormat="1" applyFont="1"/>
    <xf numFmtId="10" fontId="18" fillId="0" borderId="0" xfId="0" applyNumberFormat="1" applyFont="1"/>
    <xf numFmtId="14" fontId="0" fillId="0" borderId="0" xfId="0" applyNumberFormat="1"/>
    <xf numFmtId="0" fontId="5" fillId="2" borderId="3" xfId="0" applyFont="1" applyFill="1" applyBorder="1"/>
    <xf numFmtId="0" fontId="5" fillId="2" borderId="4" xfId="0" applyFont="1" applyFill="1" applyBorder="1"/>
    <xf numFmtId="14" fontId="9" fillId="0" borderId="6" xfId="0" applyNumberFormat="1" applyFont="1" applyBorder="1" applyAlignment="1">
      <alignment horizontal="center" vertical="center"/>
    </xf>
    <xf numFmtId="0" fontId="19" fillId="0" borderId="13" xfId="0" applyFont="1" applyBorder="1"/>
    <xf numFmtId="49" fontId="12" fillId="3" borderId="9" xfId="0" applyNumberFormat="1" applyFont="1" applyFill="1" applyBorder="1" applyAlignment="1">
      <alignment horizontal="left" vertical="center"/>
    </xf>
    <xf numFmtId="49" fontId="12" fillId="3" borderId="10" xfId="0" applyNumberFormat="1" applyFont="1" applyFill="1" applyBorder="1" applyAlignment="1">
      <alignment horizontal="left" vertical="center"/>
    </xf>
    <xf numFmtId="0" fontId="5" fillId="2" borderId="1" xfId="0" applyFont="1" applyFill="1" applyBorder="1" applyAlignment="1"/>
    <xf numFmtId="0" fontId="5" fillId="2" borderId="2" xfId="0" applyFont="1" applyFill="1" applyBorder="1" applyAlignment="1"/>
    <xf numFmtId="0" fontId="5" fillId="2" borderId="3" xfId="0" applyFont="1" applyFill="1" applyBorder="1" applyAlignment="1"/>
    <xf numFmtId="0" fontId="5" fillId="2" borderId="4" xfId="0" applyFont="1" applyFill="1" applyBorder="1" applyAlignment="1"/>
    <xf numFmtId="49" fontId="12" fillId="3" borderId="3" xfId="0" applyNumberFormat="1" applyFont="1" applyFill="1" applyBorder="1" applyAlignment="1">
      <alignment horizontal="left" vertical="center"/>
    </xf>
    <xf numFmtId="49" fontId="12" fillId="3" borderId="4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171450</xdr:colOff>
      <xdr:row>0</xdr:row>
      <xdr:rowOff>57150</xdr:rowOff>
    </xdr:from>
    <xdr:to>
      <xdr:col>2</xdr:col>
      <xdr:colOff>172877</xdr:colOff>
      <xdr:row>2</xdr:row>
      <xdr:rowOff>111775</xdr:rowOff>
    </xdr:to>
    <xdr:pic>
      <xdr:nvPicPr>
        <xdr:cNvPr id="4" name="Picture 1">
          <a:extLst>
            <a:ext uri="{FF2B5EF4-FFF2-40B4-BE49-F238E27FC236}">
              <a16:creationId xmlns:a16="http://schemas.microsoft.com/office/drawing/2014/main" id="{E9EE2DD2-49F0-4B32-AF8C-72341308EB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1450" y="57150"/>
          <a:ext cx="1157762" cy="42038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AM47"/>
  <sheetViews>
    <sheetView tabSelected="1" zoomScale="90" zoomScaleNormal="90" workbookViewId="0">
      <selection activeCell="X40" sqref="X40"/>
    </sheetView>
  </sheetViews>
  <sheetFormatPr defaultRowHeight="14.4" x14ac:dyDescent="0.3"/>
  <cols>
    <col min="2" max="2" width="8.109375" customWidth="1"/>
    <col min="3" max="3" width="10.33203125" customWidth="1"/>
    <col min="4" max="4" width="12.109375" style="3" bestFit="1" customWidth="1"/>
    <col min="5" max="5" width="40.88671875" customWidth="1"/>
    <col min="6" max="6" width="37.109375" customWidth="1"/>
    <col min="7" max="7" width="9.109375" bestFit="1" customWidth="1"/>
    <col min="8" max="13" width="0" hidden="1" customWidth="1"/>
    <col min="14" max="14" width="9.109375" hidden="1" customWidth="1"/>
    <col min="15" max="15" width="0" style="4" hidden="1" customWidth="1"/>
    <col min="16" max="16" width="0" hidden="1" customWidth="1"/>
    <col min="17" max="17" width="7.33203125" customWidth="1"/>
    <col min="18" max="18" width="6.21875" bestFit="1" customWidth="1"/>
    <col min="19" max="19" width="8.88671875" style="4" customWidth="1"/>
    <col min="20" max="20" width="4.33203125" customWidth="1"/>
    <col min="21" max="21" width="4.6640625" customWidth="1"/>
    <col min="22" max="22" width="7.44140625" customWidth="1"/>
    <col min="23" max="23" width="5.33203125" customWidth="1"/>
    <col min="24" max="24" width="9.88671875" bestFit="1" customWidth="1"/>
    <col min="25" max="25" width="9.109375" style="5" bestFit="1" customWidth="1"/>
    <col min="26" max="26" width="9.88671875" bestFit="1" customWidth="1"/>
    <col min="27" max="27" width="11.6640625" customWidth="1"/>
    <col min="28" max="28" width="9.109375" bestFit="1" customWidth="1"/>
    <col min="29" max="29" width="10.109375" bestFit="1" customWidth="1"/>
    <col min="30" max="30" width="10.5546875" bestFit="1" customWidth="1"/>
    <col min="31" max="33" width="10.109375" bestFit="1" customWidth="1"/>
  </cols>
  <sheetData>
    <row r="3" spans="1:39" ht="15" thickBot="1" x14ac:dyDescent="0.35"/>
    <row r="4" spans="1:39" x14ac:dyDescent="0.3">
      <c r="A4" s="103" t="s">
        <v>0</v>
      </c>
      <c r="B4" s="104"/>
      <c r="C4" s="6" t="s">
        <v>1</v>
      </c>
      <c r="D4" s="7"/>
      <c r="E4" s="6"/>
      <c r="F4" s="6"/>
      <c r="G4" s="6"/>
      <c r="H4" s="6"/>
      <c r="I4" s="6"/>
      <c r="J4" s="8"/>
      <c r="K4" s="8"/>
      <c r="L4" s="8"/>
      <c r="M4" s="8"/>
      <c r="N4" s="8"/>
      <c r="O4" s="9"/>
      <c r="P4" s="8"/>
      <c r="Q4" s="8"/>
      <c r="R4" s="8"/>
      <c r="S4" s="9"/>
      <c r="T4" s="8"/>
      <c r="U4" s="8"/>
      <c r="V4" s="8"/>
      <c r="W4" s="8"/>
      <c r="X4" s="8"/>
      <c r="Y4" s="10"/>
      <c r="Z4" s="8"/>
    </row>
    <row r="5" spans="1:39" x14ac:dyDescent="0.3">
      <c r="A5" s="105" t="s">
        <v>2</v>
      </c>
      <c r="B5" s="106"/>
      <c r="C5" s="6" t="s">
        <v>3</v>
      </c>
      <c r="D5" s="7"/>
      <c r="E5" s="6"/>
      <c r="F5" s="6"/>
      <c r="G5" s="6"/>
      <c r="H5" s="6"/>
      <c r="I5" s="6"/>
      <c r="J5" s="8"/>
      <c r="K5" s="8"/>
      <c r="L5" s="8"/>
      <c r="M5" s="8"/>
      <c r="N5" s="8"/>
      <c r="O5" s="9"/>
      <c r="P5" s="8"/>
      <c r="Q5" s="8"/>
      <c r="R5" s="8"/>
      <c r="S5" s="9"/>
      <c r="T5" s="8"/>
      <c r="U5" s="8"/>
      <c r="V5" s="8"/>
      <c r="W5" s="8"/>
      <c r="X5" s="8"/>
      <c r="Y5" s="10"/>
      <c r="Z5" s="8"/>
    </row>
    <row r="6" spans="1:39" ht="21.75" customHeight="1" x14ac:dyDescent="0.7">
      <c r="A6" s="105" t="s">
        <v>4</v>
      </c>
      <c r="B6" s="106"/>
      <c r="C6" s="6" t="s">
        <v>5</v>
      </c>
      <c r="D6" s="7"/>
      <c r="E6" s="6"/>
      <c r="F6" s="6"/>
      <c r="G6" s="6"/>
      <c r="H6" s="6"/>
      <c r="I6" s="6"/>
      <c r="J6" s="8"/>
      <c r="K6" s="8"/>
      <c r="L6" s="8"/>
      <c r="M6" s="8"/>
      <c r="N6" s="8"/>
      <c r="O6" s="9"/>
      <c r="P6" s="8"/>
      <c r="Q6" s="8"/>
      <c r="R6" s="8"/>
      <c r="S6" s="9"/>
      <c r="T6" s="11"/>
      <c r="U6" s="11"/>
      <c r="V6" s="11"/>
      <c r="W6" s="11"/>
      <c r="X6" s="11"/>
      <c r="Y6" s="12"/>
      <c r="Z6" s="13"/>
    </row>
    <row r="7" spans="1:39" ht="21.75" customHeight="1" x14ac:dyDescent="0.7">
      <c r="A7" s="105" t="s">
        <v>6</v>
      </c>
      <c r="B7" s="106"/>
      <c r="C7" s="14"/>
      <c r="D7" s="15" t="s">
        <v>7</v>
      </c>
      <c r="E7" s="16" t="s">
        <v>8</v>
      </c>
      <c r="F7" s="8"/>
      <c r="G7" s="6" t="s">
        <v>9</v>
      </c>
      <c r="H7" s="6"/>
      <c r="I7" s="8"/>
      <c r="J7" s="8"/>
      <c r="K7" s="8"/>
      <c r="L7" s="8"/>
      <c r="M7" s="8"/>
      <c r="N7" s="8"/>
      <c r="O7" s="9"/>
      <c r="P7" s="8"/>
      <c r="Q7" s="8"/>
      <c r="R7" s="8"/>
      <c r="S7" s="9"/>
      <c r="T7" s="11"/>
      <c r="U7" s="11"/>
      <c r="V7" s="11"/>
      <c r="W7" s="11"/>
      <c r="X7" s="11"/>
      <c r="Y7" s="12"/>
      <c r="Z7" s="13"/>
    </row>
    <row r="8" spans="1:39" ht="21.75" customHeight="1" x14ac:dyDescent="0.7">
      <c r="A8" s="97" t="s">
        <v>10</v>
      </c>
      <c r="B8" s="98"/>
      <c r="C8" s="99">
        <v>45950</v>
      </c>
      <c r="D8" s="15"/>
      <c r="E8" s="16"/>
      <c r="F8" s="8"/>
      <c r="G8" s="6" t="s">
        <v>11</v>
      </c>
      <c r="H8" s="6"/>
      <c r="I8" s="8"/>
      <c r="J8" s="8"/>
      <c r="K8" s="8"/>
      <c r="L8" s="8"/>
      <c r="M8" s="8"/>
      <c r="N8" s="8"/>
      <c r="O8" s="9"/>
      <c r="P8" s="8"/>
      <c r="Q8" s="8"/>
      <c r="R8" s="8"/>
      <c r="S8" s="9"/>
      <c r="T8" s="11"/>
      <c r="U8" s="11"/>
      <c r="V8" s="11"/>
      <c r="W8" s="11"/>
      <c r="X8" s="11"/>
      <c r="Y8" s="12"/>
      <c r="Z8" s="11"/>
    </row>
    <row r="9" spans="1:39" ht="21.75" customHeight="1" x14ac:dyDescent="0.7">
      <c r="A9" s="107" t="s">
        <v>12</v>
      </c>
      <c r="B9" s="108"/>
      <c r="C9" s="17" t="s">
        <v>99</v>
      </c>
      <c r="D9" s="18"/>
      <c r="E9" s="19" t="s">
        <v>13</v>
      </c>
      <c r="J9" s="5"/>
      <c r="K9" s="5"/>
      <c r="L9" s="5"/>
      <c r="M9" s="5"/>
      <c r="N9" s="5"/>
      <c r="P9" s="5"/>
      <c r="Q9" s="5"/>
      <c r="R9" s="5"/>
      <c r="T9" s="11"/>
      <c r="U9" s="11"/>
      <c r="V9" s="11"/>
      <c r="W9" s="11"/>
      <c r="X9" s="11"/>
      <c r="Y9" s="12"/>
      <c r="Z9" s="11"/>
    </row>
    <row r="10" spans="1:39" ht="15" customHeight="1" thickBot="1" x14ac:dyDescent="0.35">
      <c r="A10" s="101" t="s">
        <v>14</v>
      </c>
      <c r="B10" s="102"/>
      <c r="C10" s="20" t="s">
        <v>99</v>
      </c>
      <c r="D10" s="21"/>
      <c r="E10" s="19" t="s">
        <v>15</v>
      </c>
      <c r="J10" s="5" t="s">
        <v>16</v>
      </c>
      <c r="K10" s="22" t="s">
        <v>17</v>
      </c>
      <c r="L10" s="22"/>
      <c r="M10" s="22"/>
      <c r="N10" s="22"/>
      <c r="O10" s="23"/>
      <c r="P10" s="5"/>
      <c r="Q10" s="5"/>
      <c r="R10" s="5"/>
    </row>
    <row r="11" spans="1:39" ht="57.75" customHeight="1" x14ac:dyDescent="0.3">
      <c r="A11" s="24" t="s">
        <v>18</v>
      </c>
      <c r="B11" s="24" t="s">
        <v>19</v>
      </c>
      <c r="C11" s="25" t="s">
        <v>20</v>
      </c>
      <c r="D11" s="26" t="s">
        <v>21</v>
      </c>
      <c r="E11" s="27" t="s">
        <v>22</v>
      </c>
      <c r="F11" s="28" t="s">
        <v>23</v>
      </c>
      <c r="G11" s="27" t="s">
        <v>24</v>
      </c>
      <c r="H11" s="25" t="s">
        <v>25</v>
      </c>
      <c r="I11" s="25" t="s">
        <v>26</v>
      </c>
      <c r="J11" s="29" t="s">
        <v>27</v>
      </c>
      <c r="K11" s="29" t="s">
        <v>28</v>
      </c>
      <c r="L11" s="29"/>
      <c r="M11" s="29"/>
      <c r="N11" s="29" t="s">
        <v>29</v>
      </c>
      <c r="O11" s="30" t="s">
        <v>30</v>
      </c>
      <c r="P11" s="25" t="s">
        <v>31</v>
      </c>
      <c r="Q11" s="29" t="s">
        <v>32</v>
      </c>
      <c r="R11" s="29" t="s">
        <v>33</v>
      </c>
      <c r="S11" s="31"/>
      <c r="T11" s="25" t="s">
        <v>34</v>
      </c>
      <c r="U11" s="29" t="s">
        <v>35</v>
      </c>
      <c r="V11" s="29" t="s">
        <v>36</v>
      </c>
      <c r="W11" s="29" t="s">
        <v>37</v>
      </c>
      <c r="X11" s="29" t="s">
        <v>38</v>
      </c>
      <c r="Y11" s="32" t="s">
        <v>39</v>
      </c>
      <c r="Z11" s="25" t="s">
        <v>40</v>
      </c>
      <c r="AA11" s="25" t="s">
        <v>41</v>
      </c>
      <c r="AB11" s="25" t="s">
        <v>42</v>
      </c>
    </row>
    <row r="12" spans="1:39" x14ac:dyDescent="0.3">
      <c r="A12" s="33">
        <v>675187</v>
      </c>
      <c r="B12" s="34">
        <v>667081</v>
      </c>
      <c r="C12" s="34"/>
      <c r="D12" s="35">
        <v>4820222760317</v>
      </c>
      <c r="E12" s="36" t="s">
        <v>43</v>
      </c>
      <c r="F12" s="34" t="s">
        <v>44</v>
      </c>
      <c r="G12" s="37">
        <v>0.5</v>
      </c>
      <c r="H12" s="38"/>
      <c r="I12" s="39">
        <v>0.77</v>
      </c>
      <c r="J12" s="39">
        <v>0.8</v>
      </c>
      <c r="K12" s="39">
        <v>0.78</v>
      </c>
      <c r="L12" s="39"/>
      <c r="M12" s="39"/>
      <c r="N12" s="39">
        <v>0.82</v>
      </c>
      <c r="O12" s="40">
        <f t="shared" ref="O12:O22" si="0">(N12-K12)/K12</f>
        <v>5.1282051282051183E-2</v>
      </c>
      <c r="P12" s="37">
        <f t="shared" ref="P12:P22" si="1">K12*19.28</f>
        <v>15.038400000000001</v>
      </c>
      <c r="Q12" s="39">
        <v>0.87</v>
      </c>
      <c r="R12" s="39">
        <v>0.83</v>
      </c>
      <c r="S12" s="40">
        <f>(R12-Q12)/Q12</f>
        <v>-4.5977011494252915E-2</v>
      </c>
      <c r="T12" s="34"/>
      <c r="U12" s="34">
        <v>12</v>
      </c>
      <c r="V12" s="34">
        <v>1260</v>
      </c>
      <c r="W12" s="34">
        <v>180</v>
      </c>
      <c r="X12" s="41">
        <v>900</v>
      </c>
      <c r="Y12" s="37">
        <f t="shared" ref="Y12:Y22" si="2">X12/V12</f>
        <v>0.7142857142857143</v>
      </c>
      <c r="Z12" s="34">
        <f t="shared" ref="Z12:Z22" si="3">X12*G12</f>
        <v>450</v>
      </c>
      <c r="AA12" s="42">
        <f>X12*R12</f>
        <v>747</v>
      </c>
      <c r="AB12" s="34">
        <v>180</v>
      </c>
      <c r="AD12" s="43"/>
    </row>
    <row r="13" spans="1:39" x14ac:dyDescent="0.3">
      <c r="A13" s="33">
        <v>675188</v>
      </c>
      <c r="B13" s="34">
        <v>667083</v>
      </c>
      <c r="C13" s="34"/>
      <c r="D13" s="35">
        <v>4820222760591</v>
      </c>
      <c r="E13" s="36" t="s">
        <v>45</v>
      </c>
      <c r="F13" s="34" t="s">
        <v>46</v>
      </c>
      <c r="G13" s="37">
        <v>0.5</v>
      </c>
      <c r="H13" s="38"/>
      <c r="I13" s="39">
        <v>1.55</v>
      </c>
      <c r="J13" s="39">
        <v>1.6</v>
      </c>
      <c r="K13" s="39">
        <v>1.58</v>
      </c>
      <c r="L13" s="39"/>
      <c r="M13" s="39"/>
      <c r="N13" s="39">
        <v>1.7</v>
      </c>
      <c r="O13" s="40">
        <f t="shared" si="0"/>
        <v>7.5949367088607514E-2</v>
      </c>
      <c r="P13" s="37">
        <f t="shared" si="1"/>
        <v>30.462400000000002</v>
      </c>
      <c r="Q13" s="39">
        <v>1.8</v>
      </c>
      <c r="R13" s="39">
        <v>1.71</v>
      </c>
      <c r="S13" s="40">
        <f t="shared" ref="S13:S22" si="4">(R13-Q13)/Q13</f>
        <v>-5.0000000000000044E-2</v>
      </c>
      <c r="T13" s="34"/>
      <c r="U13" s="34">
        <v>12</v>
      </c>
      <c r="V13" s="34">
        <v>1260</v>
      </c>
      <c r="W13" s="34">
        <v>180</v>
      </c>
      <c r="X13" s="41">
        <v>900</v>
      </c>
      <c r="Y13" s="37">
        <f t="shared" si="2"/>
        <v>0.7142857142857143</v>
      </c>
      <c r="Z13" s="34">
        <f t="shared" si="3"/>
        <v>450</v>
      </c>
      <c r="AA13" s="42">
        <f t="shared" ref="AA13:AA21" si="5">X13*R13</f>
        <v>1539</v>
      </c>
      <c r="AB13" s="44">
        <v>90</v>
      </c>
      <c r="AD13" s="43"/>
    </row>
    <row r="14" spans="1:39" x14ac:dyDescent="0.3">
      <c r="A14" s="33">
        <v>675189</v>
      </c>
      <c r="B14" s="34">
        <v>667084</v>
      </c>
      <c r="C14" s="34"/>
      <c r="D14" s="35">
        <v>4820222760324</v>
      </c>
      <c r="E14" s="36" t="s">
        <v>47</v>
      </c>
      <c r="F14" s="34" t="s">
        <v>48</v>
      </c>
      <c r="G14" s="37">
        <v>0.95</v>
      </c>
      <c r="H14" s="38"/>
      <c r="I14" s="39">
        <v>2.95</v>
      </c>
      <c r="J14" s="39">
        <v>3</v>
      </c>
      <c r="K14" s="39">
        <v>2.96</v>
      </c>
      <c r="L14" s="39"/>
      <c r="M14" s="39"/>
      <c r="N14" s="39">
        <v>3.15</v>
      </c>
      <c r="O14" s="40">
        <f t="shared" si="0"/>
        <v>6.4189189189189172E-2</v>
      </c>
      <c r="P14" s="37">
        <f t="shared" si="1"/>
        <v>57.068800000000003</v>
      </c>
      <c r="Q14" s="39">
        <v>3.3</v>
      </c>
      <c r="R14" s="39">
        <v>3.2</v>
      </c>
      <c r="S14" s="40">
        <f t="shared" si="4"/>
        <v>-3.0303030303030196E-2</v>
      </c>
      <c r="T14" s="34"/>
      <c r="U14" s="34">
        <v>12</v>
      </c>
      <c r="V14" s="34">
        <v>720</v>
      </c>
      <c r="W14" s="34">
        <v>180</v>
      </c>
      <c r="X14" s="41">
        <v>0</v>
      </c>
      <c r="Y14" s="37">
        <f t="shared" si="2"/>
        <v>0</v>
      </c>
      <c r="Z14" s="34">
        <f t="shared" si="3"/>
        <v>0</v>
      </c>
      <c r="AA14" s="42">
        <f t="shared" si="5"/>
        <v>0</v>
      </c>
      <c r="AB14" s="44">
        <v>90</v>
      </c>
      <c r="AD14" s="43"/>
    </row>
    <row r="15" spans="1:39" x14ac:dyDescent="0.3">
      <c r="A15" s="33">
        <v>675190</v>
      </c>
      <c r="B15" s="34">
        <v>667085</v>
      </c>
      <c r="C15" s="34"/>
      <c r="D15" s="35">
        <v>4820222760249</v>
      </c>
      <c r="E15" s="36" t="s">
        <v>49</v>
      </c>
      <c r="F15" s="34" t="s">
        <v>50</v>
      </c>
      <c r="G15" s="37">
        <v>0.95</v>
      </c>
      <c r="H15" s="38"/>
      <c r="I15" s="39">
        <v>0.73</v>
      </c>
      <c r="J15" s="39">
        <v>0.75</v>
      </c>
      <c r="K15" s="39">
        <v>0.7</v>
      </c>
      <c r="L15" s="39"/>
      <c r="M15" s="39"/>
      <c r="N15" s="39">
        <v>0.73</v>
      </c>
      <c r="O15" s="40">
        <f t="shared" si="0"/>
        <v>4.2857142857142899E-2</v>
      </c>
      <c r="P15" s="37">
        <f t="shared" si="1"/>
        <v>13.496</v>
      </c>
      <c r="Q15" s="39">
        <v>0.77</v>
      </c>
      <c r="R15" s="39">
        <v>0.74</v>
      </c>
      <c r="S15" s="40">
        <f t="shared" si="4"/>
        <v>-3.8961038961038995E-2</v>
      </c>
      <c r="T15" s="34"/>
      <c r="U15" s="34">
        <v>12</v>
      </c>
      <c r="V15" s="34">
        <v>720</v>
      </c>
      <c r="W15" s="34">
        <v>180</v>
      </c>
      <c r="X15" s="41">
        <v>720</v>
      </c>
      <c r="Y15" s="37">
        <f t="shared" si="2"/>
        <v>1</v>
      </c>
      <c r="Z15" s="34">
        <f t="shared" si="3"/>
        <v>684</v>
      </c>
      <c r="AA15" s="42">
        <f t="shared" si="5"/>
        <v>532.79999999999995</v>
      </c>
      <c r="AB15" s="34">
        <v>365</v>
      </c>
      <c r="AD15" s="96"/>
      <c r="AE15" s="96"/>
      <c r="AF15" s="96"/>
      <c r="AG15" s="96"/>
      <c r="AI15" s="4"/>
      <c r="AK15" s="4"/>
      <c r="AM15" s="4"/>
    </row>
    <row r="16" spans="1:39" x14ac:dyDescent="0.3">
      <c r="A16" s="33">
        <v>675192</v>
      </c>
      <c r="B16" s="34">
        <v>667086</v>
      </c>
      <c r="C16" s="34"/>
      <c r="D16" s="35">
        <v>4820222760225</v>
      </c>
      <c r="E16" s="36" t="s">
        <v>51</v>
      </c>
      <c r="F16" s="34" t="s">
        <v>52</v>
      </c>
      <c r="G16" s="37">
        <v>0.95</v>
      </c>
      <c r="H16" s="38"/>
      <c r="I16" s="39">
        <v>0.78</v>
      </c>
      <c r="J16" s="39">
        <v>0.81</v>
      </c>
      <c r="K16" s="39">
        <v>0.76</v>
      </c>
      <c r="L16" s="39"/>
      <c r="M16" s="39"/>
      <c r="N16" s="39">
        <v>0.79</v>
      </c>
      <c r="O16" s="40">
        <f t="shared" si="0"/>
        <v>3.9473684210526348E-2</v>
      </c>
      <c r="P16" s="37">
        <f t="shared" si="1"/>
        <v>14.652800000000001</v>
      </c>
      <c r="Q16" s="39">
        <v>0.83</v>
      </c>
      <c r="R16" s="39">
        <v>0.8</v>
      </c>
      <c r="S16" s="40">
        <f t="shared" si="4"/>
        <v>-3.6144578313252913E-2</v>
      </c>
      <c r="T16" s="34"/>
      <c r="U16" s="34">
        <v>12</v>
      </c>
      <c r="V16" s="34">
        <v>720</v>
      </c>
      <c r="W16" s="34">
        <v>180</v>
      </c>
      <c r="X16" s="41">
        <v>2880</v>
      </c>
      <c r="Y16" s="37">
        <f t="shared" si="2"/>
        <v>4</v>
      </c>
      <c r="Z16" s="34">
        <f t="shared" si="3"/>
        <v>2736</v>
      </c>
      <c r="AA16" s="42">
        <f t="shared" si="5"/>
        <v>2304</v>
      </c>
      <c r="AB16" s="34">
        <v>365</v>
      </c>
      <c r="AD16" s="96"/>
    </row>
    <row r="17" spans="1:39" s="1" customFormat="1" hidden="1" x14ac:dyDescent="0.3">
      <c r="A17" s="45">
        <v>675193</v>
      </c>
      <c r="B17" s="45">
        <v>667087</v>
      </c>
      <c r="C17" s="45"/>
      <c r="D17" s="46">
        <v>4820222760577</v>
      </c>
      <c r="E17" s="47" t="s">
        <v>53</v>
      </c>
      <c r="F17" s="45" t="s">
        <v>54</v>
      </c>
      <c r="G17" s="48">
        <v>0.95</v>
      </c>
      <c r="H17" s="49"/>
      <c r="I17" s="50">
        <v>0.85</v>
      </c>
      <c r="J17" s="50">
        <v>0.88</v>
      </c>
      <c r="K17" s="50">
        <v>0.83</v>
      </c>
      <c r="L17" s="50"/>
      <c r="M17" s="50"/>
      <c r="N17" s="39" t="e">
        <v>#N/A</v>
      </c>
      <c r="O17" s="40" t="e">
        <f t="shared" si="0"/>
        <v>#N/A</v>
      </c>
      <c r="P17" s="48">
        <f t="shared" si="1"/>
        <v>16.002400000000002</v>
      </c>
      <c r="Q17" s="39">
        <v>0.77</v>
      </c>
      <c r="R17" s="39"/>
      <c r="S17" s="40">
        <f t="shared" si="4"/>
        <v>-1</v>
      </c>
      <c r="T17" s="45"/>
      <c r="U17" s="45">
        <v>12</v>
      </c>
      <c r="V17" s="45">
        <v>720</v>
      </c>
      <c r="W17" s="45">
        <v>180</v>
      </c>
      <c r="X17" s="41"/>
      <c r="Y17" s="48">
        <f t="shared" si="2"/>
        <v>0</v>
      </c>
      <c r="Z17" s="45">
        <f t="shared" si="3"/>
        <v>0</v>
      </c>
      <c r="AA17" s="42">
        <f t="shared" si="5"/>
        <v>0</v>
      </c>
      <c r="AB17" s="52">
        <v>90</v>
      </c>
      <c r="AD17" s="96"/>
    </row>
    <row r="18" spans="1:39" hidden="1" x14ac:dyDescent="0.3">
      <c r="A18" s="53">
        <v>675200</v>
      </c>
      <c r="B18" s="54">
        <v>667094</v>
      </c>
      <c r="C18" s="55"/>
      <c r="D18" s="56">
        <v>4820222760010</v>
      </c>
      <c r="E18" s="57" t="s">
        <v>55</v>
      </c>
      <c r="F18" s="55" t="s">
        <v>56</v>
      </c>
      <c r="G18" s="58">
        <v>0.9</v>
      </c>
      <c r="H18" s="59">
        <v>0.55000000000000004</v>
      </c>
      <c r="I18" s="59">
        <v>0.62</v>
      </c>
      <c r="J18" s="59">
        <v>0.73</v>
      </c>
      <c r="K18" s="59">
        <v>0</v>
      </c>
      <c r="L18" s="59"/>
      <c r="M18" s="59"/>
      <c r="N18" s="39" t="e">
        <v>#N/A</v>
      </c>
      <c r="O18" s="40" t="e">
        <f t="shared" si="0"/>
        <v>#N/A</v>
      </c>
      <c r="P18" s="58">
        <f t="shared" si="1"/>
        <v>0</v>
      </c>
      <c r="Q18" s="39">
        <v>0.77</v>
      </c>
      <c r="R18" s="39"/>
      <c r="S18" s="40">
        <f t="shared" si="4"/>
        <v>-1</v>
      </c>
      <c r="T18" s="55"/>
      <c r="U18" s="55">
        <v>15</v>
      </c>
      <c r="V18" s="55">
        <v>600</v>
      </c>
      <c r="W18" s="55">
        <v>150</v>
      </c>
      <c r="X18" s="100"/>
      <c r="Y18" s="58">
        <f t="shared" si="2"/>
        <v>0</v>
      </c>
      <c r="Z18" s="55">
        <f t="shared" si="3"/>
        <v>0</v>
      </c>
      <c r="AA18" s="42">
        <f t="shared" si="5"/>
        <v>0</v>
      </c>
      <c r="AB18" s="55">
        <v>90</v>
      </c>
      <c r="AD18" s="96"/>
    </row>
    <row r="19" spans="1:39" x14ac:dyDescent="0.3">
      <c r="A19" s="33">
        <v>675201</v>
      </c>
      <c r="B19" s="34">
        <v>667096</v>
      </c>
      <c r="C19" s="34"/>
      <c r="D19" s="35">
        <v>4820086633727</v>
      </c>
      <c r="E19" s="36" t="s">
        <v>57</v>
      </c>
      <c r="F19" s="34" t="s">
        <v>58</v>
      </c>
      <c r="G19" s="37">
        <v>0.95</v>
      </c>
      <c r="H19" s="38">
        <v>0.63</v>
      </c>
      <c r="I19" s="39">
        <v>0.69</v>
      </c>
      <c r="J19" s="39">
        <v>0.73</v>
      </c>
      <c r="K19" s="39">
        <v>0.68</v>
      </c>
      <c r="L19" s="39"/>
      <c r="M19" s="39"/>
      <c r="N19" s="39">
        <v>0.71</v>
      </c>
      <c r="O19" s="40">
        <f t="shared" si="0"/>
        <v>4.41176470588234E-2</v>
      </c>
      <c r="P19" s="37">
        <f t="shared" si="1"/>
        <v>13.110400000000002</v>
      </c>
      <c r="Q19" s="39">
        <v>0.75</v>
      </c>
      <c r="R19" s="39">
        <v>0.72</v>
      </c>
      <c r="S19" s="40">
        <f t="shared" si="4"/>
        <v>-4.0000000000000036E-2</v>
      </c>
      <c r="T19" s="34"/>
      <c r="U19" s="34">
        <v>12</v>
      </c>
      <c r="V19" s="34">
        <v>720</v>
      </c>
      <c r="W19" s="34">
        <v>180</v>
      </c>
      <c r="X19" s="41">
        <v>2880</v>
      </c>
      <c r="Y19" s="37">
        <f t="shared" si="2"/>
        <v>4</v>
      </c>
      <c r="Z19" s="34">
        <f t="shared" si="3"/>
        <v>2736</v>
      </c>
      <c r="AA19" s="42">
        <f t="shared" si="5"/>
        <v>2073.6</v>
      </c>
      <c r="AB19" s="34">
        <v>365</v>
      </c>
      <c r="AC19" s="96"/>
      <c r="AD19" s="96"/>
      <c r="AF19" s="4"/>
      <c r="AG19" s="96"/>
      <c r="AI19" s="4"/>
    </row>
    <row r="20" spans="1:39" x14ac:dyDescent="0.3">
      <c r="A20" s="33">
        <v>675202</v>
      </c>
      <c r="B20" s="34">
        <v>667097</v>
      </c>
      <c r="C20" s="34"/>
      <c r="D20" s="35">
        <v>4820086633710</v>
      </c>
      <c r="E20" s="36" t="s">
        <v>59</v>
      </c>
      <c r="F20" s="34" t="s">
        <v>60</v>
      </c>
      <c r="G20" s="37">
        <v>0.95</v>
      </c>
      <c r="H20" s="38">
        <v>0.68</v>
      </c>
      <c r="I20" s="39">
        <v>0.74</v>
      </c>
      <c r="J20" s="39">
        <v>0.78</v>
      </c>
      <c r="K20" s="39">
        <v>0.73</v>
      </c>
      <c r="L20" s="39"/>
      <c r="M20" s="39"/>
      <c r="N20" s="39">
        <v>0.76</v>
      </c>
      <c r="O20" s="40">
        <f t="shared" si="0"/>
        <v>4.1095890410958943E-2</v>
      </c>
      <c r="P20" s="37">
        <f t="shared" si="1"/>
        <v>14.074400000000001</v>
      </c>
      <c r="Q20" s="39">
        <v>0.8</v>
      </c>
      <c r="R20" s="39">
        <v>0.77</v>
      </c>
      <c r="S20" s="40">
        <f t="shared" si="4"/>
        <v>-3.7500000000000033E-2</v>
      </c>
      <c r="T20" s="34"/>
      <c r="U20" s="34">
        <v>12</v>
      </c>
      <c r="V20" s="34">
        <v>720</v>
      </c>
      <c r="W20" s="34">
        <v>180</v>
      </c>
      <c r="X20" s="41">
        <v>8640</v>
      </c>
      <c r="Y20" s="37">
        <f t="shared" si="2"/>
        <v>12</v>
      </c>
      <c r="Z20" s="34">
        <f t="shared" si="3"/>
        <v>8208</v>
      </c>
      <c r="AA20" s="42">
        <f t="shared" si="5"/>
        <v>6652.8</v>
      </c>
      <c r="AB20" s="34">
        <v>365</v>
      </c>
      <c r="AC20" s="96"/>
      <c r="AD20" s="96"/>
      <c r="AF20" s="4"/>
      <c r="AG20" s="96"/>
      <c r="AI20" s="4"/>
      <c r="AK20" s="4"/>
      <c r="AM20" s="4"/>
    </row>
    <row r="21" spans="1:39" x14ac:dyDescent="0.3">
      <c r="A21" s="33">
        <v>675204</v>
      </c>
      <c r="B21" s="34">
        <v>667098</v>
      </c>
      <c r="C21" s="34"/>
      <c r="D21" s="35">
        <v>4820086633734</v>
      </c>
      <c r="E21" s="36" t="s">
        <v>61</v>
      </c>
      <c r="F21" s="34" t="s">
        <v>62</v>
      </c>
      <c r="G21" s="37">
        <v>0.95</v>
      </c>
      <c r="H21" s="38">
        <v>0.75</v>
      </c>
      <c r="I21" s="39">
        <v>0.8</v>
      </c>
      <c r="J21" s="39">
        <v>0.84</v>
      </c>
      <c r="K21" s="39">
        <v>0.79</v>
      </c>
      <c r="L21" s="39"/>
      <c r="M21" s="39"/>
      <c r="N21" s="39">
        <v>0.84</v>
      </c>
      <c r="O21" s="40">
        <f t="shared" si="0"/>
        <v>6.3291139240506236E-2</v>
      </c>
      <c r="P21" s="37">
        <f t="shared" si="1"/>
        <v>15.231200000000001</v>
      </c>
      <c r="Q21" s="39">
        <v>0.88</v>
      </c>
      <c r="R21" s="39">
        <v>0.85</v>
      </c>
      <c r="S21" s="40">
        <f t="shared" si="4"/>
        <v>-3.4090909090909123E-2</v>
      </c>
      <c r="T21" s="34"/>
      <c r="U21" s="34">
        <v>12</v>
      </c>
      <c r="V21" s="34">
        <v>720</v>
      </c>
      <c r="W21" s="34">
        <v>180</v>
      </c>
      <c r="X21" s="41">
        <v>3600</v>
      </c>
      <c r="Y21" s="37">
        <f t="shared" si="2"/>
        <v>5</v>
      </c>
      <c r="Z21" s="34">
        <f t="shared" si="3"/>
        <v>3420</v>
      </c>
      <c r="AA21" s="42">
        <f t="shared" si="5"/>
        <v>3060</v>
      </c>
      <c r="AB21" s="44">
        <v>90</v>
      </c>
      <c r="AD21" s="43"/>
    </row>
    <row r="22" spans="1:39" x14ac:dyDescent="0.3">
      <c r="A22" s="33">
        <v>679425</v>
      </c>
      <c r="B22" s="34"/>
      <c r="C22" s="34"/>
      <c r="D22" s="35">
        <v>4820222763219</v>
      </c>
      <c r="E22" s="36" t="s">
        <v>63</v>
      </c>
      <c r="F22" s="34" t="s">
        <v>64</v>
      </c>
      <c r="G22" s="37">
        <v>1</v>
      </c>
      <c r="H22" s="37"/>
      <c r="I22" s="39"/>
      <c r="J22" s="34"/>
      <c r="K22" s="39">
        <v>2.5</v>
      </c>
      <c r="L22" s="39">
        <v>2.5</v>
      </c>
      <c r="M22" s="40">
        <f>(L22-K22)/K22</f>
        <v>0</v>
      </c>
      <c r="N22" s="39">
        <v>2.6</v>
      </c>
      <c r="O22" s="40">
        <f t="shared" si="0"/>
        <v>4.0000000000000036E-2</v>
      </c>
      <c r="P22" s="37">
        <f t="shared" si="1"/>
        <v>48.2</v>
      </c>
      <c r="Q22" s="39">
        <v>2.6</v>
      </c>
      <c r="R22" s="39"/>
      <c r="S22" s="40">
        <f t="shared" si="4"/>
        <v>-1</v>
      </c>
      <c r="T22" s="34"/>
      <c r="U22" s="34">
        <v>12</v>
      </c>
      <c r="V22" s="34">
        <v>720</v>
      </c>
      <c r="W22" s="34">
        <v>180</v>
      </c>
      <c r="X22" s="51">
        <v>0</v>
      </c>
      <c r="Y22" s="37">
        <f t="shared" si="2"/>
        <v>0</v>
      </c>
      <c r="Z22" s="34">
        <f t="shared" si="3"/>
        <v>0</v>
      </c>
      <c r="AA22" s="42">
        <f t="shared" ref="AA22" si="6">X22*Q22</f>
        <v>0</v>
      </c>
      <c r="AB22" s="60">
        <v>180</v>
      </c>
      <c r="AD22" s="43"/>
    </row>
    <row r="23" spans="1:39" x14ac:dyDescent="0.3">
      <c r="A23" s="61" t="s">
        <v>65</v>
      </c>
      <c r="B23" s="61"/>
      <c r="C23" s="61"/>
      <c r="D23" s="62"/>
      <c r="E23" s="63"/>
      <c r="F23" s="61"/>
      <c r="G23" s="64"/>
      <c r="H23" s="65"/>
      <c r="I23" s="65"/>
      <c r="J23" s="65"/>
      <c r="K23" s="65"/>
      <c r="L23" s="65"/>
      <c r="M23" s="65"/>
      <c r="N23" s="65"/>
      <c r="O23" s="66"/>
      <c r="P23" s="64"/>
      <c r="Q23" s="64"/>
      <c r="R23" s="64"/>
      <c r="S23" s="66"/>
      <c r="T23" s="61"/>
      <c r="U23" s="61"/>
      <c r="V23" s="61"/>
      <c r="W23" s="61"/>
      <c r="X23" s="61">
        <f>SUM(X12:X22)</f>
        <v>20520</v>
      </c>
      <c r="Y23" s="64">
        <f>SUM(Y12:Y22)</f>
        <v>27.428571428571431</v>
      </c>
      <c r="Z23" s="61">
        <f>SUM(Z12:Z22)</f>
        <v>18684</v>
      </c>
      <c r="AA23" s="65">
        <f>SUM(AA12:AA22)</f>
        <v>16909.2</v>
      </c>
      <c r="AB23" s="61"/>
      <c r="AD23" s="43"/>
    </row>
    <row r="24" spans="1:39" ht="18" x14ac:dyDescent="0.35">
      <c r="A24" s="67"/>
      <c r="B24" s="68"/>
      <c r="C24" s="68"/>
      <c r="D24" s="69"/>
      <c r="E24" s="70" t="s">
        <v>66</v>
      </c>
      <c r="F24" s="68"/>
      <c r="G24" s="71"/>
      <c r="H24" s="72"/>
      <c r="I24" s="73"/>
      <c r="J24" s="73"/>
      <c r="K24" s="73"/>
      <c r="L24" s="73"/>
      <c r="M24" s="73"/>
      <c r="N24" s="73"/>
      <c r="O24" s="74"/>
      <c r="P24" s="71"/>
      <c r="Q24" s="71"/>
      <c r="R24" s="71"/>
      <c r="S24" s="75"/>
      <c r="T24" s="68"/>
      <c r="U24" s="68"/>
      <c r="V24" s="68"/>
      <c r="W24" s="68"/>
      <c r="X24" s="68"/>
      <c r="Y24" s="71"/>
      <c r="Z24" s="68"/>
      <c r="AA24" s="76"/>
      <c r="AB24" s="68"/>
      <c r="AD24" s="43"/>
    </row>
    <row r="25" spans="1:39" x14ac:dyDescent="0.3">
      <c r="A25" s="33">
        <v>679411</v>
      </c>
      <c r="B25" s="34"/>
      <c r="C25" s="34"/>
      <c r="D25" s="35">
        <v>4820222760447</v>
      </c>
      <c r="E25" s="36" t="s">
        <v>67</v>
      </c>
      <c r="F25" s="34" t="s">
        <v>68</v>
      </c>
      <c r="G25" s="37">
        <v>0.3</v>
      </c>
      <c r="H25" s="38"/>
      <c r="I25" s="39"/>
      <c r="J25" s="39"/>
      <c r="K25" s="39">
        <v>0.41</v>
      </c>
      <c r="L25" s="39">
        <v>0.42</v>
      </c>
      <c r="M25" s="40">
        <f t="shared" ref="M25:M37" si="7">(L25-K25)/K25</f>
        <v>2.4390243902439046E-2</v>
      </c>
      <c r="N25" s="39">
        <v>0.44</v>
      </c>
      <c r="O25" s="40">
        <f t="shared" ref="O25:O37" si="8">(N25-K25)/K25</f>
        <v>7.3170731707317138E-2</v>
      </c>
      <c r="P25" s="37">
        <f t="shared" ref="P25:P37" si="9">K25*19.28</f>
        <v>7.9047999999999998</v>
      </c>
      <c r="Q25" s="39">
        <v>0.46</v>
      </c>
      <c r="R25" s="39"/>
      <c r="S25" s="40">
        <f t="shared" ref="S25:S37" si="10">(Q25-N25)/N25</f>
        <v>4.5454545454545497E-2</v>
      </c>
      <c r="T25" s="34"/>
      <c r="U25" s="34">
        <v>10</v>
      </c>
      <c r="V25" s="34">
        <v>1320</v>
      </c>
      <c r="W25" s="34">
        <v>330</v>
      </c>
      <c r="X25" s="41">
        <v>240</v>
      </c>
      <c r="Y25" s="37">
        <f t="shared" ref="Y25:Y39" si="11">X25/V25</f>
        <v>0.18181818181818182</v>
      </c>
      <c r="Z25" s="34">
        <f t="shared" ref="Z25:Z39" si="12">X25*G25</f>
        <v>72</v>
      </c>
      <c r="AA25" s="42">
        <f t="shared" ref="AA25:AA39" si="13">X25*Q25</f>
        <v>110.4</v>
      </c>
      <c r="AB25" s="60">
        <v>30</v>
      </c>
      <c r="AD25" s="43"/>
    </row>
    <row r="26" spans="1:39" x14ac:dyDescent="0.3">
      <c r="A26" s="33">
        <v>679412</v>
      </c>
      <c r="B26" s="34"/>
      <c r="C26" s="34"/>
      <c r="D26" s="35">
        <v>4820222760454</v>
      </c>
      <c r="E26" s="36" t="s">
        <v>69</v>
      </c>
      <c r="F26" s="34" t="s">
        <v>70</v>
      </c>
      <c r="G26" s="37">
        <v>0.28000000000000003</v>
      </c>
      <c r="H26" s="38"/>
      <c r="I26" s="39"/>
      <c r="J26" s="39"/>
      <c r="K26" s="39">
        <v>0.46</v>
      </c>
      <c r="L26" s="39">
        <v>0.48</v>
      </c>
      <c r="M26" s="40">
        <f t="shared" si="7"/>
        <v>4.3478260869565133E-2</v>
      </c>
      <c r="N26" s="39">
        <v>0.5</v>
      </c>
      <c r="O26" s="40">
        <f t="shared" si="8"/>
        <v>8.6956521739130391E-2</v>
      </c>
      <c r="P26" s="37">
        <f t="shared" si="9"/>
        <v>8.8688000000000002</v>
      </c>
      <c r="Q26" s="39">
        <v>0.52</v>
      </c>
      <c r="R26" s="39"/>
      <c r="S26" s="40">
        <f t="shared" si="10"/>
        <v>4.0000000000000036E-2</v>
      </c>
      <c r="T26" s="34"/>
      <c r="U26" s="34">
        <v>8</v>
      </c>
      <c r="V26" s="34">
        <v>720</v>
      </c>
      <c r="W26" s="34">
        <v>80</v>
      </c>
      <c r="X26" s="41">
        <v>240</v>
      </c>
      <c r="Y26" s="37">
        <f t="shared" si="11"/>
        <v>0.33333333333333331</v>
      </c>
      <c r="Z26" s="34">
        <f t="shared" si="12"/>
        <v>67.2</v>
      </c>
      <c r="AA26" s="42">
        <f t="shared" si="13"/>
        <v>124.80000000000001</v>
      </c>
      <c r="AB26" s="60">
        <v>30</v>
      </c>
      <c r="AD26" s="43"/>
    </row>
    <row r="27" spans="1:39" x14ac:dyDescent="0.3">
      <c r="A27" s="33">
        <v>679413</v>
      </c>
      <c r="B27" s="34"/>
      <c r="C27" s="34"/>
      <c r="D27" s="35">
        <v>4820222762496</v>
      </c>
      <c r="E27" s="36" t="s">
        <v>71</v>
      </c>
      <c r="F27" s="34" t="s">
        <v>72</v>
      </c>
      <c r="G27" s="37">
        <v>0.3</v>
      </c>
      <c r="H27" s="38"/>
      <c r="I27" s="39"/>
      <c r="J27" s="39"/>
      <c r="K27" s="39">
        <v>0.39</v>
      </c>
      <c r="L27" s="39">
        <v>0.41</v>
      </c>
      <c r="M27" s="40">
        <f t="shared" si="7"/>
        <v>5.1282051282051183E-2</v>
      </c>
      <c r="N27" s="39">
        <v>0.43</v>
      </c>
      <c r="O27" s="40">
        <f t="shared" si="8"/>
        <v>0.10256410256410251</v>
      </c>
      <c r="P27" s="37">
        <f t="shared" si="9"/>
        <v>7.5192000000000005</v>
      </c>
      <c r="Q27" s="39">
        <v>0.45</v>
      </c>
      <c r="R27" s="39"/>
      <c r="S27" s="40">
        <f t="shared" si="10"/>
        <v>4.6511627906976785E-2</v>
      </c>
      <c r="T27" s="34"/>
      <c r="U27" s="34">
        <v>10</v>
      </c>
      <c r="V27" s="34">
        <v>1320</v>
      </c>
      <c r="W27" s="34">
        <v>330</v>
      </c>
      <c r="X27" s="41">
        <v>300</v>
      </c>
      <c r="Y27" s="37">
        <f t="shared" si="11"/>
        <v>0.22727272727272727</v>
      </c>
      <c r="Z27" s="34">
        <f t="shared" si="12"/>
        <v>90</v>
      </c>
      <c r="AA27" s="42">
        <f t="shared" si="13"/>
        <v>135</v>
      </c>
      <c r="AB27" s="60">
        <v>30</v>
      </c>
      <c r="AD27" s="43"/>
    </row>
    <row r="28" spans="1:39" s="2" customFormat="1" x14ac:dyDescent="0.3">
      <c r="A28" s="33">
        <v>679414</v>
      </c>
      <c r="B28" s="33"/>
      <c r="C28" s="33"/>
      <c r="D28" s="77">
        <v>4820222762557</v>
      </c>
      <c r="E28" s="78" t="s">
        <v>73</v>
      </c>
      <c r="F28" s="33" t="s">
        <v>74</v>
      </c>
      <c r="G28" s="79">
        <v>0.3</v>
      </c>
      <c r="H28" s="80"/>
      <c r="I28" s="81"/>
      <c r="J28" s="81"/>
      <c r="K28" s="39">
        <v>0.39</v>
      </c>
      <c r="L28" s="39">
        <v>0.41</v>
      </c>
      <c r="M28" s="40">
        <f t="shared" si="7"/>
        <v>5.1282051282051183E-2</v>
      </c>
      <c r="N28" s="39">
        <v>0.43</v>
      </c>
      <c r="O28" s="40">
        <f t="shared" si="8"/>
        <v>0.10256410256410251</v>
      </c>
      <c r="P28" s="79">
        <f t="shared" si="9"/>
        <v>7.5192000000000005</v>
      </c>
      <c r="Q28" s="39">
        <v>0.45</v>
      </c>
      <c r="R28" s="39"/>
      <c r="S28" s="40">
        <f t="shared" si="10"/>
        <v>4.6511627906976785E-2</v>
      </c>
      <c r="T28" s="33"/>
      <c r="U28" s="33">
        <v>10</v>
      </c>
      <c r="V28" s="33">
        <v>1320</v>
      </c>
      <c r="W28" s="33">
        <v>330</v>
      </c>
      <c r="X28" s="41">
        <v>300</v>
      </c>
      <c r="Y28" s="79">
        <f t="shared" si="11"/>
        <v>0.22727272727272727</v>
      </c>
      <c r="Z28" s="33">
        <f t="shared" si="12"/>
        <v>90</v>
      </c>
      <c r="AA28" s="42">
        <f t="shared" si="13"/>
        <v>135</v>
      </c>
      <c r="AB28" s="60">
        <v>30</v>
      </c>
      <c r="AD28" s="82"/>
    </row>
    <row r="29" spans="1:39" x14ac:dyDescent="0.3">
      <c r="A29" s="33">
        <v>679415</v>
      </c>
      <c r="B29" s="34"/>
      <c r="C29" s="34"/>
      <c r="D29" s="35">
        <v>4820222760164</v>
      </c>
      <c r="E29" s="36" t="s">
        <v>75</v>
      </c>
      <c r="F29" s="34" t="s">
        <v>76</v>
      </c>
      <c r="G29" s="37">
        <v>0.3</v>
      </c>
      <c r="H29" s="38"/>
      <c r="I29" s="39"/>
      <c r="J29" s="39"/>
      <c r="K29" s="39">
        <v>0.39</v>
      </c>
      <c r="L29" s="39">
        <v>0.41</v>
      </c>
      <c r="M29" s="40">
        <f t="shared" si="7"/>
        <v>5.1282051282051183E-2</v>
      </c>
      <c r="N29" s="39">
        <v>0.43</v>
      </c>
      <c r="O29" s="40">
        <f t="shared" si="8"/>
        <v>0.10256410256410251</v>
      </c>
      <c r="P29" s="37">
        <f t="shared" si="9"/>
        <v>7.5192000000000005</v>
      </c>
      <c r="Q29" s="39">
        <v>0.45</v>
      </c>
      <c r="R29" s="39"/>
      <c r="S29" s="40">
        <f t="shared" si="10"/>
        <v>4.6511627906976785E-2</v>
      </c>
      <c r="T29" s="34"/>
      <c r="U29" s="34">
        <v>10</v>
      </c>
      <c r="V29" s="34">
        <v>1320</v>
      </c>
      <c r="W29" s="34">
        <v>330</v>
      </c>
      <c r="X29" s="41">
        <v>280</v>
      </c>
      <c r="Y29" s="37">
        <f t="shared" si="11"/>
        <v>0.21212121212121213</v>
      </c>
      <c r="Z29" s="34">
        <f t="shared" si="12"/>
        <v>84</v>
      </c>
      <c r="AA29" s="42">
        <f t="shared" si="13"/>
        <v>126</v>
      </c>
      <c r="AB29" s="60">
        <v>30</v>
      </c>
      <c r="AD29" s="43"/>
    </row>
    <row r="30" spans="1:39" x14ac:dyDescent="0.3">
      <c r="A30" s="33">
        <v>679416</v>
      </c>
      <c r="B30" s="34"/>
      <c r="C30" s="34"/>
      <c r="D30" s="35">
        <v>4820222762816</v>
      </c>
      <c r="E30" s="36" t="s">
        <v>77</v>
      </c>
      <c r="F30" s="34" t="s">
        <v>78</v>
      </c>
      <c r="G30" s="37">
        <v>0.3</v>
      </c>
      <c r="H30" s="38"/>
      <c r="I30" s="39"/>
      <c r="J30" s="39"/>
      <c r="K30" s="39">
        <v>0.39</v>
      </c>
      <c r="L30" s="39">
        <v>0.41</v>
      </c>
      <c r="M30" s="40">
        <f t="shared" si="7"/>
        <v>5.1282051282051183E-2</v>
      </c>
      <c r="N30" s="39">
        <v>0.43</v>
      </c>
      <c r="O30" s="40">
        <f t="shared" si="8"/>
        <v>0.10256410256410251</v>
      </c>
      <c r="P30" s="37">
        <f t="shared" si="9"/>
        <v>7.5192000000000005</v>
      </c>
      <c r="Q30" s="39">
        <v>0.45</v>
      </c>
      <c r="R30" s="39"/>
      <c r="S30" s="40">
        <f t="shared" si="10"/>
        <v>4.6511627906976785E-2</v>
      </c>
      <c r="T30" s="34"/>
      <c r="U30" s="34">
        <v>10</v>
      </c>
      <c r="V30" s="34">
        <v>1320</v>
      </c>
      <c r="W30" s="34">
        <v>330</v>
      </c>
      <c r="X30" s="41">
        <v>280</v>
      </c>
      <c r="Y30" s="37">
        <f t="shared" si="11"/>
        <v>0.21212121212121213</v>
      </c>
      <c r="Z30" s="34">
        <f t="shared" si="12"/>
        <v>84</v>
      </c>
      <c r="AA30" s="42">
        <f t="shared" si="13"/>
        <v>126</v>
      </c>
      <c r="AB30" s="60">
        <v>30</v>
      </c>
      <c r="AD30" s="43"/>
    </row>
    <row r="31" spans="1:39" x14ac:dyDescent="0.3">
      <c r="A31" s="33">
        <v>679417</v>
      </c>
      <c r="B31" s="34"/>
      <c r="C31" s="34"/>
      <c r="D31" s="35">
        <v>4820222762823</v>
      </c>
      <c r="E31" s="36" t="s">
        <v>79</v>
      </c>
      <c r="F31" s="34" t="s">
        <v>80</v>
      </c>
      <c r="G31" s="37">
        <v>0.3</v>
      </c>
      <c r="H31" s="38"/>
      <c r="I31" s="39"/>
      <c r="J31" s="39"/>
      <c r="K31" s="39">
        <v>0.39</v>
      </c>
      <c r="L31" s="39">
        <v>0.41</v>
      </c>
      <c r="M31" s="40">
        <f t="shared" si="7"/>
        <v>5.1282051282051183E-2</v>
      </c>
      <c r="N31" s="39">
        <v>0.43</v>
      </c>
      <c r="O31" s="40">
        <f t="shared" si="8"/>
        <v>0.10256410256410251</v>
      </c>
      <c r="P31" s="37">
        <f t="shared" si="9"/>
        <v>7.5192000000000005</v>
      </c>
      <c r="Q31" s="39">
        <v>0.45</v>
      </c>
      <c r="R31" s="39"/>
      <c r="S31" s="40">
        <f t="shared" si="10"/>
        <v>4.6511627906976785E-2</v>
      </c>
      <c r="T31" s="34"/>
      <c r="U31" s="34">
        <v>10</v>
      </c>
      <c r="V31" s="34">
        <v>1320</v>
      </c>
      <c r="W31" s="34">
        <v>330</v>
      </c>
      <c r="X31" s="41">
        <v>280</v>
      </c>
      <c r="Y31" s="37">
        <f t="shared" si="11"/>
        <v>0.21212121212121213</v>
      </c>
      <c r="Z31" s="34">
        <f t="shared" si="12"/>
        <v>84</v>
      </c>
      <c r="AA31" s="42">
        <f t="shared" si="13"/>
        <v>126</v>
      </c>
      <c r="AB31" s="60">
        <v>30</v>
      </c>
      <c r="AD31" s="43"/>
    </row>
    <row r="32" spans="1:39" x14ac:dyDescent="0.3">
      <c r="A32" s="33">
        <v>679418</v>
      </c>
      <c r="B32" s="34"/>
      <c r="C32" s="34"/>
      <c r="D32" s="35">
        <v>4820222762977</v>
      </c>
      <c r="E32" s="36" t="s">
        <v>81</v>
      </c>
      <c r="F32" s="34" t="s">
        <v>82</v>
      </c>
      <c r="G32" s="37">
        <v>0.3</v>
      </c>
      <c r="H32" s="38"/>
      <c r="I32" s="39"/>
      <c r="J32" s="39"/>
      <c r="K32" s="39">
        <v>0.39</v>
      </c>
      <c r="L32" s="39">
        <v>0.41</v>
      </c>
      <c r="M32" s="40">
        <f t="shared" si="7"/>
        <v>5.1282051282051183E-2</v>
      </c>
      <c r="N32" s="39">
        <v>0.43</v>
      </c>
      <c r="O32" s="40">
        <f t="shared" si="8"/>
        <v>0.10256410256410251</v>
      </c>
      <c r="P32" s="37">
        <f t="shared" si="9"/>
        <v>7.5192000000000005</v>
      </c>
      <c r="Q32" s="39">
        <v>0.45</v>
      </c>
      <c r="R32" s="39"/>
      <c r="S32" s="40">
        <f t="shared" si="10"/>
        <v>4.6511627906976785E-2</v>
      </c>
      <c r="T32" s="34"/>
      <c r="U32" s="34">
        <v>10</v>
      </c>
      <c r="V32" s="34">
        <v>1320</v>
      </c>
      <c r="W32" s="34">
        <v>330</v>
      </c>
      <c r="X32" s="41">
        <v>240</v>
      </c>
      <c r="Y32" s="37">
        <f t="shared" si="11"/>
        <v>0.18181818181818182</v>
      </c>
      <c r="Z32" s="34">
        <f t="shared" si="12"/>
        <v>72</v>
      </c>
      <c r="AA32" s="42">
        <f t="shared" si="13"/>
        <v>108</v>
      </c>
      <c r="AB32" s="60">
        <v>30</v>
      </c>
      <c r="AD32" s="43"/>
    </row>
    <row r="33" spans="1:30" x14ac:dyDescent="0.3">
      <c r="A33" s="33">
        <v>679420</v>
      </c>
      <c r="B33" s="34"/>
      <c r="C33" s="34"/>
      <c r="D33" s="35">
        <v>4820222762809</v>
      </c>
      <c r="E33" s="36" t="s">
        <v>83</v>
      </c>
      <c r="F33" s="34" t="s">
        <v>84</v>
      </c>
      <c r="G33" s="37">
        <v>0.25</v>
      </c>
      <c r="H33" s="38"/>
      <c r="I33" s="39"/>
      <c r="J33" s="39"/>
      <c r="K33" s="39">
        <v>0.5</v>
      </c>
      <c r="L33" s="39">
        <v>0.52</v>
      </c>
      <c r="M33" s="40">
        <f t="shared" si="7"/>
        <v>4.0000000000000036E-2</v>
      </c>
      <c r="N33" s="39">
        <v>0.54</v>
      </c>
      <c r="O33" s="40">
        <f t="shared" si="8"/>
        <v>8.0000000000000071E-2</v>
      </c>
      <c r="P33" s="37">
        <f t="shared" si="9"/>
        <v>9.64</v>
      </c>
      <c r="Q33" s="39">
        <v>0.56000000000000005</v>
      </c>
      <c r="R33" s="39"/>
      <c r="S33" s="40">
        <f t="shared" si="10"/>
        <v>3.703703703703707E-2</v>
      </c>
      <c r="T33" s="34"/>
      <c r="U33" s="34">
        <v>8</v>
      </c>
      <c r="V33" s="34">
        <v>720</v>
      </c>
      <c r="W33" s="34">
        <v>80</v>
      </c>
      <c r="X33" s="41">
        <v>240</v>
      </c>
      <c r="Y33" s="37">
        <f t="shared" si="11"/>
        <v>0.33333333333333331</v>
      </c>
      <c r="Z33" s="34">
        <f t="shared" si="12"/>
        <v>60</v>
      </c>
      <c r="AA33" s="42">
        <f t="shared" si="13"/>
        <v>134.4</v>
      </c>
      <c r="AB33" s="60">
        <v>30</v>
      </c>
      <c r="AD33" s="43"/>
    </row>
    <row r="34" spans="1:30" x14ac:dyDescent="0.3">
      <c r="A34" s="33">
        <v>679421</v>
      </c>
      <c r="B34" s="34"/>
      <c r="C34" s="34"/>
      <c r="D34" s="35">
        <v>4820222762793</v>
      </c>
      <c r="E34" s="36" t="s">
        <v>85</v>
      </c>
      <c r="F34" s="34" t="s">
        <v>86</v>
      </c>
      <c r="G34" s="37">
        <v>0.25</v>
      </c>
      <c r="H34" s="38"/>
      <c r="I34" s="39"/>
      <c r="J34" s="39"/>
      <c r="K34" s="39">
        <v>0.5</v>
      </c>
      <c r="L34" s="39">
        <v>0.52</v>
      </c>
      <c r="M34" s="40">
        <f t="shared" si="7"/>
        <v>4.0000000000000036E-2</v>
      </c>
      <c r="N34" s="39">
        <v>0.54</v>
      </c>
      <c r="O34" s="40">
        <f t="shared" si="8"/>
        <v>8.0000000000000071E-2</v>
      </c>
      <c r="P34" s="37">
        <f t="shared" si="9"/>
        <v>9.64</v>
      </c>
      <c r="Q34" s="39">
        <v>0.56000000000000005</v>
      </c>
      <c r="R34" s="39"/>
      <c r="S34" s="40">
        <f t="shared" si="10"/>
        <v>3.703703703703707E-2</v>
      </c>
      <c r="T34" s="34"/>
      <c r="U34" s="34">
        <v>8</v>
      </c>
      <c r="V34" s="34">
        <v>720</v>
      </c>
      <c r="W34" s="34">
        <v>80</v>
      </c>
      <c r="X34" s="41">
        <v>184</v>
      </c>
      <c r="Y34" s="37">
        <f t="shared" si="11"/>
        <v>0.25555555555555554</v>
      </c>
      <c r="Z34" s="34">
        <f t="shared" si="12"/>
        <v>46</v>
      </c>
      <c r="AA34" s="42">
        <f t="shared" si="13"/>
        <v>103.04</v>
      </c>
      <c r="AB34" s="60">
        <v>30</v>
      </c>
      <c r="AD34" s="43"/>
    </row>
    <row r="35" spans="1:30" x14ac:dyDescent="0.3">
      <c r="A35" s="33">
        <v>679422</v>
      </c>
      <c r="B35" s="34"/>
      <c r="C35" s="34"/>
      <c r="D35" s="35">
        <v>4820222762960</v>
      </c>
      <c r="E35" s="36" t="s">
        <v>87</v>
      </c>
      <c r="F35" s="34" t="s">
        <v>88</v>
      </c>
      <c r="G35" s="37">
        <v>0.25</v>
      </c>
      <c r="H35" s="38"/>
      <c r="I35" s="39"/>
      <c r="J35" s="39"/>
      <c r="K35" s="39">
        <v>0.5</v>
      </c>
      <c r="L35" s="39">
        <v>0.52</v>
      </c>
      <c r="M35" s="40">
        <f t="shared" si="7"/>
        <v>4.0000000000000036E-2</v>
      </c>
      <c r="N35" s="39">
        <v>0.54</v>
      </c>
      <c r="O35" s="40">
        <f t="shared" si="8"/>
        <v>8.0000000000000071E-2</v>
      </c>
      <c r="P35" s="37">
        <f t="shared" si="9"/>
        <v>9.64</v>
      </c>
      <c r="Q35" s="39">
        <v>0.56000000000000005</v>
      </c>
      <c r="R35" s="39"/>
      <c r="S35" s="40">
        <f t="shared" si="10"/>
        <v>3.703703703703707E-2</v>
      </c>
      <c r="T35" s="34"/>
      <c r="U35" s="34">
        <v>8</v>
      </c>
      <c r="V35" s="34">
        <v>720</v>
      </c>
      <c r="W35" s="34">
        <v>80</v>
      </c>
      <c r="X35" s="41">
        <v>216</v>
      </c>
      <c r="Y35" s="37">
        <f t="shared" si="11"/>
        <v>0.3</v>
      </c>
      <c r="Z35" s="34">
        <f t="shared" si="12"/>
        <v>54</v>
      </c>
      <c r="AA35" s="42">
        <f t="shared" si="13"/>
        <v>120.96000000000001</v>
      </c>
      <c r="AB35" s="60">
        <v>30</v>
      </c>
      <c r="AD35" s="43"/>
    </row>
    <row r="36" spans="1:30" x14ac:dyDescent="0.3">
      <c r="A36" s="33">
        <v>679424</v>
      </c>
      <c r="B36" s="34"/>
      <c r="C36" s="34"/>
      <c r="D36" s="35">
        <v>4820222760089</v>
      </c>
      <c r="E36" s="36" t="s">
        <v>89</v>
      </c>
      <c r="F36" s="34" t="s">
        <v>90</v>
      </c>
      <c r="G36" s="37">
        <v>1</v>
      </c>
      <c r="H36" s="38"/>
      <c r="I36" s="39"/>
      <c r="J36" s="39"/>
      <c r="K36" s="39">
        <v>1.35</v>
      </c>
      <c r="L36" s="39">
        <v>1.38</v>
      </c>
      <c r="M36" s="40">
        <f t="shared" si="7"/>
        <v>2.2222222222222077E-2</v>
      </c>
      <c r="N36" s="39">
        <v>1.42</v>
      </c>
      <c r="O36" s="40">
        <f t="shared" si="8"/>
        <v>5.1851851851851732E-2</v>
      </c>
      <c r="P36" s="37">
        <f t="shared" si="9"/>
        <v>26.028000000000002</v>
      </c>
      <c r="Q36" s="39">
        <v>1.45</v>
      </c>
      <c r="R36" s="39"/>
      <c r="S36" s="40">
        <f t="shared" si="10"/>
        <v>2.1126760563380302E-2</v>
      </c>
      <c r="T36" s="34"/>
      <c r="U36" s="34">
        <v>2</v>
      </c>
      <c r="V36" s="34">
        <v>320</v>
      </c>
      <c r="W36" s="34">
        <v>40</v>
      </c>
      <c r="X36" s="41">
        <v>320</v>
      </c>
      <c r="Y36" s="37">
        <f t="shared" si="11"/>
        <v>1</v>
      </c>
      <c r="Z36" s="34">
        <f t="shared" si="12"/>
        <v>320</v>
      </c>
      <c r="AA36" s="42">
        <f t="shared" si="13"/>
        <v>464</v>
      </c>
      <c r="AB36" s="60">
        <v>25</v>
      </c>
      <c r="AD36" s="43"/>
    </row>
    <row r="37" spans="1:30" x14ac:dyDescent="0.3">
      <c r="A37" s="33">
        <v>679423</v>
      </c>
      <c r="B37" s="34"/>
      <c r="C37" s="34"/>
      <c r="D37" s="35">
        <v>4820222761697</v>
      </c>
      <c r="E37" s="36" t="s">
        <v>91</v>
      </c>
      <c r="F37" s="34" t="s">
        <v>92</v>
      </c>
      <c r="G37" s="37">
        <v>0.5</v>
      </c>
      <c r="H37" s="38"/>
      <c r="I37" s="39"/>
      <c r="J37" s="39"/>
      <c r="K37" s="39">
        <v>0.82</v>
      </c>
      <c r="L37" s="39">
        <v>0.85</v>
      </c>
      <c r="M37" s="40">
        <f t="shared" si="7"/>
        <v>3.6585365853658569E-2</v>
      </c>
      <c r="N37" s="39">
        <v>0.87</v>
      </c>
      <c r="O37" s="40">
        <f t="shared" si="8"/>
        <v>6.0975609756097622E-2</v>
      </c>
      <c r="P37" s="37">
        <f t="shared" si="9"/>
        <v>15.8096</v>
      </c>
      <c r="Q37" s="39">
        <v>0.9</v>
      </c>
      <c r="R37" s="39"/>
      <c r="S37" s="40">
        <f t="shared" si="10"/>
        <v>3.4482758620689689E-2</v>
      </c>
      <c r="T37" s="34"/>
      <c r="U37" s="34">
        <v>2</v>
      </c>
      <c r="V37" s="34">
        <v>600</v>
      </c>
      <c r="W37" s="34">
        <v>60</v>
      </c>
      <c r="X37" s="41">
        <v>180</v>
      </c>
      <c r="Y37" s="37">
        <f t="shared" si="11"/>
        <v>0.3</v>
      </c>
      <c r="Z37" s="34">
        <f t="shared" si="12"/>
        <v>90</v>
      </c>
      <c r="AA37" s="42">
        <f t="shared" si="13"/>
        <v>162</v>
      </c>
      <c r="AB37" s="60">
        <v>25</v>
      </c>
      <c r="AD37" s="43"/>
    </row>
    <row r="38" spans="1:30" x14ac:dyDescent="0.3">
      <c r="A38" s="33">
        <v>682622</v>
      </c>
      <c r="B38" s="83"/>
      <c r="C38" s="83"/>
      <c r="D38" s="35">
        <v>4820222762830</v>
      </c>
      <c r="E38" s="36" t="s">
        <v>93</v>
      </c>
      <c r="F38" s="34" t="s">
        <v>94</v>
      </c>
      <c r="G38" s="37">
        <v>0.3</v>
      </c>
      <c r="H38" s="38"/>
      <c r="I38" s="39"/>
      <c r="J38" s="39"/>
      <c r="K38" s="39"/>
      <c r="L38" s="39"/>
      <c r="M38" s="40"/>
      <c r="N38" s="39"/>
      <c r="O38" s="40"/>
      <c r="P38" s="37"/>
      <c r="Q38" s="39">
        <v>0.44</v>
      </c>
      <c r="R38" s="39"/>
      <c r="S38" s="40"/>
      <c r="T38" s="34"/>
      <c r="U38" s="34">
        <v>10</v>
      </c>
      <c r="V38" s="34">
        <v>1320</v>
      </c>
      <c r="W38" s="34">
        <v>330</v>
      </c>
      <c r="X38" s="41">
        <v>240</v>
      </c>
      <c r="Y38" s="37">
        <f t="shared" si="11"/>
        <v>0.18181818181818182</v>
      </c>
      <c r="Z38" s="34">
        <f t="shared" si="12"/>
        <v>72</v>
      </c>
      <c r="AA38" s="42">
        <f t="shared" si="13"/>
        <v>105.6</v>
      </c>
      <c r="AB38" s="60">
        <v>30</v>
      </c>
      <c r="AD38" s="43"/>
    </row>
    <row r="39" spans="1:30" x14ac:dyDescent="0.3">
      <c r="A39" s="33">
        <v>682625</v>
      </c>
      <c r="B39" s="83"/>
      <c r="C39" s="83"/>
      <c r="D39" s="35">
        <v>4820222762885</v>
      </c>
      <c r="E39" s="36" t="s">
        <v>95</v>
      </c>
      <c r="F39" s="34" t="s">
        <v>96</v>
      </c>
      <c r="G39" s="37">
        <v>0.28000000000000003</v>
      </c>
      <c r="H39" s="38"/>
      <c r="I39" s="39"/>
      <c r="J39" s="39"/>
      <c r="K39" s="39"/>
      <c r="L39" s="39"/>
      <c r="M39" s="40"/>
      <c r="N39" s="39"/>
      <c r="O39" s="40"/>
      <c r="P39" s="37"/>
      <c r="Q39" s="39">
        <v>0.53</v>
      </c>
      <c r="R39" s="39"/>
      <c r="S39" s="40"/>
      <c r="T39" s="34"/>
      <c r="U39" s="34">
        <v>8</v>
      </c>
      <c r="V39" s="34">
        <v>720</v>
      </c>
      <c r="W39" s="34">
        <v>80</v>
      </c>
      <c r="X39" s="41">
        <v>240</v>
      </c>
      <c r="Y39" s="37">
        <f t="shared" si="11"/>
        <v>0.33333333333333331</v>
      </c>
      <c r="Z39" s="34">
        <f t="shared" si="12"/>
        <v>67.2</v>
      </c>
      <c r="AA39" s="42">
        <f t="shared" si="13"/>
        <v>127.2</v>
      </c>
      <c r="AB39" s="60">
        <v>30</v>
      </c>
      <c r="AD39" s="43"/>
    </row>
    <row r="41" spans="1:30" x14ac:dyDescent="0.3">
      <c r="A41" s="84" t="s">
        <v>97</v>
      </c>
      <c r="B41" s="84"/>
      <c r="C41" s="84"/>
      <c r="D41" s="85"/>
      <c r="E41" s="84"/>
      <c r="F41" s="84"/>
      <c r="G41" s="84"/>
      <c r="H41" s="84"/>
      <c r="I41" s="84"/>
      <c r="J41" s="84"/>
      <c r="K41" s="84"/>
      <c r="L41" s="84"/>
      <c r="M41" s="84"/>
      <c r="N41" s="84"/>
      <c r="O41" s="86"/>
      <c r="P41" s="84"/>
      <c r="Q41" s="84"/>
      <c r="R41" s="84"/>
      <c r="S41" s="86"/>
      <c r="T41" s="84"/>
      <c r="U41" s="84"/>
      <c r="V41" s="84"/>
      <c r="W41" s="84"/>
      <c r="X41" s="84">
        <f>SUM(X25:X37)</f>
        <v>3300</v>
      </c>
      <c r="Y41" s="87">
        <f>SUM(Y25:Y39)</f>
        <v>4.4919191919191919</v>
      </c>
      <c r="Z41" s="84">
        <f>SUM(Z25:Z39)</f>
        <v>1352.4</v>
      </c>
      <c r="AA41" s="88">
        <f>SUM(AA25:AA39)</f>
        <v>2208.4</v>
      </c>
      <c r="AB41" s="84"/>
    </row>
    <row r="43" spans="1:30" x14ac:dyDescent="0.3">
      <c r="A43" s="89" t="s">
        <v>98</v>
      </c>
      <c r="B43" s="90"/>
      <c r="C43" s="90"/>
      <c r="D43" s="91"/>
      <c r="E43" s="90"/>
      <c r="F43" s="90"/>
      <c r="G43" s="90"/>
      <c r="H43" s="90"/>
      <c r="I43" s="90"/>
      <c r="J43" s="90"/>
      <c r="K43" s="90"/>
      <c r="L43" s="90"/>
      <c r="M43" s="90"/>
      <c r="N43" s="90"/>
      <c r="O43" s="92"/>
      <c r="P43" s="90"/>
      <c r="Q43" s="90"/>
      <c r="R43" s="90"/>
      <c r="S43" s="92"/>
      <c r="T43" s="90"/>
      <c r="U43" s="90"/>
      <c r="V43" s="90"/>
      <c r="W43" s="90"/>
      <c r="X43" s="93">
        <f>X41+X23</f>
        <v>23820</v>
      </c>
      <c r="Y43" s="87">
        <f>Y41+Y23</f>
        <v>31.920490620490622</v>
      </c>
      <c r="Z43" s="93">
        <f>Z41+Z23</f>
        <v>20036.400000000001</v>
      </c>
      <c r="AA43" s="88">
        <f>AA41+AA23</f>
        <v>19117.600000000002</v>
      </c>
      <c r="AB43" s="90"/>
    </row>
    <row r="44" spans="1:30" x14ac:dyDescent="0.3">
      <c r="AA44" s="94"/>
    </row>
    <row r="45" spans="1:30" x14ac:dyDescent="0.3">
      <c r="AA45" s="95"/>
    </row>
    <row r="47" spans="1:30" x14ac:dyDescent="0.3">
      <c r="H47" s="96"/>
      <c r="J47" s="96"/>
    </row>
  </sheetData>
  <mergeCells count="6">
    <mergeCell ref="A10:B10"/>
    <mergeCell ref="A4:B4"/>
    <mergeCell ref="A5:B5"/>
    <mergeCell ref="A6:B6"/>
    <mergeCell ref="A7:B7"/>
    <mergeCell ref="A9:B9"/>
  </mergeCells>
  <pageMargins left="0.7" right="0.7" top="0.75" bottom="0.75" header="0.3" footer="0.3"/>
  <pageSetup orientation="portrait" horizontalDpi="300" verticalDpi="30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70e6c5e-e1d7-462e-b3ee-0a8dbcdc11af" xsi:nil="true"/>
    <lcf76f155ced4ddcb4097134ff3c332f xmlns="6985ca3f-bf78-4424-8da1-a27e09739913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516828D78401946BF54580131EFD668" ma:contentTypeVersion="15" ma:contentTypeDescription="Create a new document." ma:contentTypeScope="" ma:versionID="1cb1924466153e515b1c71b0faa2e32f">
  <xsd:schema xmlns:xsd="http://www.w3.org/2001/XMLSchema" xmlns:xs="http://www.w3.org/2001/XMLSchema" xmlns:p="http://schemas.microsoft.com/office/2006/metadata/properties" xmlns:ns2="6985ca3f-bf78-4424-8da1-a27e09739913" xmlns:ns3="b70e6c5e-e1d7-462e-b3ee-0a8dbcdc11af" targetNamespace="http://schemas.microsoft.com/office/2006/metadata/properties" ma:root="true" ma:fieldsID="170d9f1dc16ae584b015bb3b23c8609f" ns2:_="" ns3:_="">
    <xsd:import namespace="6985ca3f-bf78-4424-8da1-a27e09739913"/>
    <xsd:import namespace="b70e6c5e-e1d7-462e-b3ee-0a8dbcdc11a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85ca3f-bf78-4424-8da1-a27e0973991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97abc394-0876-4e51-9f48-f0296825b9c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70e6c5e-e1d7-462e-b3ee-0a8dbcdc11af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ced274fa-b9dd-4aa2-80ef-5ea9c5124351}" ma:internalName="TaxCatchAll" ma:showField="CatchAllData" ma:web="b70e6c5e-e1d7-462e-b3ee-0a8dbcdc11a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81356A6-3C86-43F6-8ACF-D91646A3308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796D6CC-1AF5-43AC-8F9F-2089ED3996A3}">
  <ds:schemaRefs>
    <ds:schemaRef ds:uri="http://schemas.microsoft.com/office/2006/metadata/properties"/>
    <ds:schemaRef ds:uri="http://schemas.microsoft.com/office/infopath/2007/PartnerControls"/>
    <ds:schemaRef ds:uri="b70e6c5e-e1d7-462e-b3ee-0a8dbcdc11af"/>
    <ds:schemaRef ds:uri="6985ca3f-bf78-4424-8da1-a27e09739913"/>
  </ds:schemaRefs>
</ds:datastoreItem>
</file>

<file path=customXml/itemProps3.xml><?xml version="1.0" encoding="utf-8"?>
<ds:datastoreItem xmlns:ds="http://schemas.openxmlformats.org/officeDocument/2006/customXml" ds:itemID="{24AB5776-5C99-4543-BDFD-9EA7C45E0A74}"/>
</file>

<file path=docMetadata/LabelInfo.xml><?xml version="1.0" encoding="utf-8"?>
<clbl:labelList xmlns:clbl="http://schemas.microsoft.com/office/2020/mipLabelMetadata">
  <clbl:label id="{01c1476e-3236-4add-9655-bdfbec32e949}" enabled="1" method="Privileged" siteId="{64322308-09a9-47a3-8c1c-b82871d60568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GALYCHYNA(UA)_38248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Dmitrieva, Tatiana</dc:creator>
  <cp:keywords/>
  <dc:description/>
  <cp:lastModifiedBy>Burciu, Andrian</cp:lastModifiedBy>
  <cp:revision/>
  <dcterms:created xsi:type="dcterms:W3CDTF">2015-06-05T18:19:34Z</dcterms:created>
  <dcterms:modified xsi:type="dcterms:W3CDTF">2025-10-20T12:39:37Z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0x0101009516828D78401946BF54580131EFD668</vt:lpwstr>
  </property>
  <property fmtid="{D5CDD505-2E9C-101B-9397-08002B2CF9AE}" pid="3" name="MediaServiceImageTags">
    <vt:lpwstr/>
  </property>
</Properties>
</file>