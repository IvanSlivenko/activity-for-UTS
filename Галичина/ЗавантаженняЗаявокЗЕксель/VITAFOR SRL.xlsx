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24000" windowHeight="960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3" i="1" l="1"/>
  <c r="AC23" i="1" l="1"/>
  <c r="W23" i="1"/>
  <c r="AU17" i="1"/>
  <c r="W9" i="1" l="1"/>
  <c r="AU11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AT33" i="1" l="1"/>
  <c r="AU7" i="1" l="1"/>
  <c r="AU31" i="1" l="1"/>
  <c r="AU30" i="1"/>
  <c r="AO31" i="1"/>
  <c r="AQ31" i="1" s="1"/>
  <c r="AO30" i="1"/>
  <c r="AQ30" i="1" s="1"/>
  <c r="AI31" i="1"/>
  <c r="AK31" i="1" s="1"/>
  <c r="AI30" i="1"/>
  <c r="AK30" i="1" s="1"/>
  <c r="AC31" i="1"/>
  <c r="AC30" i="1"/>
  <c r="W31" i="1"/>
  <c r="W30" i="1"/>
  <c r="Y30" i="1" s="1"/>
  <c r="Q31" i="1"/>
  <c r="Q30" i="1"/>
  <c r="K30" i="1"/>
  <c r="M30" i="1" s="1"/>
  <c r="K31" i="1"/>
  <c r="O31" i="1" s="1"/>
  <c r="E30" i="1"/>
  <c r="G30" i="1" s="1"/>
  <c r="E31" i="1"/>
  <c r="I30" i="1" l="1"/>
  <c r="AG31" i="1"/>
  <c r="AE31" i="1"/>
  <c r="AM31" i="1"/>
  <c r="AS30" i="1"/>
  <c r="AS31" i="1"/>
  <c r="AM30" i="1"/>
  <c r="AA30" i="1"/>
  <c r="AG30" i="1"/>
  <c r="AE30" i="1"/>
  <c r="AA31" i="1"/>
  <c r="Y31" i="1"/>
  <c r="U31" i="1"/>
  <c r="S31" i="1"/>
  <c r="U30" i="1"/>
  <c r="S30" i="1"/>
  <c r="I31" i="1"/>
  <c r="G31" i="1"/>
  <c r="O30" i="1"/>
  <c r="M31" i="1"/>
  <c r="AU6" i="1" l="1"/>
  <c r="AU32" i="1" l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6" i="1"/>
  <c r="AU15" i="1"/>
  <c r="AU14" i="1"/>
  <c r="AU13" i="1"/>
  <c r="AU12" i="1"/>
  <c r="AU10" i="1"/>
  <c r="AU9" i="1"/>
  <c r="AU8" i="1"/>
  <c r="AI21" i="1"/>
  <c r="AI20" i="1"/>
  <c r="AO20" i="1"/>
  <c r="AQ20" i="1" s="1"/>
  <c r="AQ29" i="1"/>
  <c r="AQ28" i="1"/>
  <c r="AP33" i="1"/>
  <c r="AO32" i="1"/>
  <c r="AQ32" i="1" s="1"/>
  <c r="AO27" i="1"/>
  <c r="AQ27" i="1" s="1"/>
  <c r="AO26" i="1"/>
  <c r="AS26" i="1" s="1"/>
  <c r="AO25" i="1"/>
  <c r="AS25" i="1" s="1"/>
  <c r="AO24" i="1"/>
  <c r="AS24" i="1" s="1"/>
  <c r="AO23" i="1"/>
  <c r="AS23" i="1" s="1"/>
  <c r="AO22" i="1"/>
  <c r="AS22" i="1" s="1"/>
  <c r="AO21" i="1"/>
  <c r="AS21" i="1" s="1"/>
  <c r="AO19" i="1"/>
  <c r="AQ19" i="1" s="1"/>
  <c r="AO18" i="1"/>
  <c r="AS18" i="1" s="1"/>
  <c r="AO17" i="1"/>
  <c r="AS17" i="1" s="1"/>
  <c r="AO16" i="1"/>
  <c r="AS16" i="1" s="1"/>
  <c r="AO15" i="1"/>
  <c r="AS15" i="1" s="1"/>
  <c r="AO14" i="1"/>
  <c r="AS14" i="1" s="1"/>
  <c r="AO13" i="1"/>
  <c r="AS13" i="1" s="1"/>
  <c r="AO12" i="1"/>
  <c r="AS12" i="1" s="1"/>
  <c r="AO11" i="1"/>
  <c r="AS11" i="1" s="1"/>
  <c r="AO10" i="1"/>
  <c r="AQ10" i="1" s="1"/>
  <c r="AO9" i="1"/>
  <c r="AS9" i="1" s="1"/>
  <c r="AO8" i="1"/>
  <c r="AS8" i="1" s="1"/>
  <c r="AO7" i="1"/>
  <c r="AS7" i="1" s="1"/>
  <c r="AO6" i="1"/>
  <c r="AQ7" i="1" l="1"/>
  <c r="AQ8" i="1"/>
  <c r="AQ9" i="1"/>
  <c r="AQ22" i="1"/>
  <c r="AQ11" i="1"/>
  <c r="AQ23" i="1"/>
  <c r="AQ12" i="1"/>
  <c r="AQ24" i="1"/>
  <c r="AQ13" i="1"/>
  <c r="AQ25" i="1"/>
  <c r="AQ14" i="1"/>
  <c r="AQ26" i="1"/>
  <c r="AQ15" i="1"/>
  <c r="AQ16" i="1"/>
  <c r="AQ17" i="1"/>
  <c r="AO33" i="1"/>
  <c r="AQ18" i="1"/>
  <c r="AS20" i="1"/>
  <c r="AQ21" i="1"/>
  <c r="AQ6" i="1"/>
  <c r="AS6" i="1"/>
  <c r="AS10" i="1"/>
  <c r="AS19" i="1"/>
  <c r="AS27" i="1"/>
  <c r="AS32" i="1"/>
  <c r="Q11" i="1"/>
  <c r="AQ33" i="1" l="1"/>
  <c r="AS33" i="1"/>
  <c r="AC20" i="1"/>
  <c r="AC29" i="1" l="1"/>
  <c r="AE29" i="1" s="1"/>
  <c r="AC28" i="1"/>
  <c r="AE28" i="1" s="1"/>
  <c r="K29" i="1"/>
  <c r="M29" i="1" s="1"/>
  <c r="K28" i="1"/>
  <c r="M28" i="1" s="1"/>
  <c r="E29" i="1"/>
  <c r="G29" i="1" s="1"/>
  <c r="E28" i="1"/>
  <c r="G28" i="1" s="1"/>
  <c r="W29" i="1"/>
  <c r="Y29" i="1" s="1"/>
  <c r="W28" i="1"/>
  <c r="Y28" i="1" s="1"/>
  <c r="Q28" i="1"/>
  <c r="S28" i="1" s="1"/>
  <c r="Q29" i="1"/>
  <c r="S29" i="1" s="1"/>
  <c r="L33" i="1"/>
  <c r="Q23" i="1" l="1"/>
  <c r="AC32" i="1" l="1"/>
  <c r="W32" i="1"/>
  <c r="Q32" i="1"/>
  <c r="K32" i="1"/>
  <c r="E32" i="1"/>
  <c r="E17" i="1" l="1"/>
  <c r="G17" i="1" s="1"/>
  <c r="I17" i="1" l="1"/>
  <c r="AJ33" i="1"/>
  <c r="AI32" i="1"/>
  <c r="AI27" i="1"/>
  <c r="AK27" i="1" s="1"/>
  <c r="AI23" i="1"/>
  <c r="AM23" i="1" s="1"/>
  <c r="AI22" i="1"/>
  <c r="AM22" i="1" s="1"/>
  <c r="AI26" i="1"/>
  <c r="AM26" i="1" s="1"/>
  <c r="AI25" i="1"/>
  <c r="AM25" i="1" s="1"/>
  <c r="AI24" i="1"/>
  <c r="AM24" i="1" s="1"/>
  <c r="AM21" i="1"/>
  <c r="AM20" i="1"/>
  <c r="AI19" i="1"/>
  <c r="AM19" i="1" s="1"/>
  <c r="AI18" i="1"/>
  <c r="AM18" i="1" s="1"/>
  <c r="AI17" i="1"/>
  <c r="AM17" i="1" s="1"/>
  <c r="AI16" i="1"/>
  <c r="AM16" i="1" s="1"/>
  <c r="AI15" i="1"/>
  <c r="AM15" i="1" s="1"/>
  <c r="AI14" i="1"/>
  <c r="AM14" i="1" s="1"/>
  <c r="AI13" i="1"/>
  <c r="AM13" i="1" s="1"/>
  <c r="AI12" i="1"/>
  <c r="AM12" i="1" s="1"/>
  <c r="AI11" i="1"/>
  <c r="AM11" i="1" s="1"/>
  <c r="AI10" i="1"/>
  <c r="AM10" i="1" s="1"/>
  <c r="AI9" i="1"/>
  <c r="AM9" i="1" s="1"/>
  <c r="AI8" i="1"/>
  <c r="AM8" i="1" s="1"/>
  <c r="AI7" i="1"/>
  <c r="AM7" i="1" s="1"/>
  <c r="AI6" i="1"/>
  <c r="AM32" i="1" l="1"/>
  <c r="AK32" i="1"/>
  <c r="AM6" i="1"/>
  <c r="AK6" i="1"/>
  <c r="AK16" i="1"/>
  <c r="AK25" i="1"/>
  <c r="AK8" i="1"/>
  <c r="AK18" i="1"/>
  <c r="AK23" i="1"/>
  <c r="AK12" i="1"/>
  <c r="AK19" i="1"/>
  <c r="AK13" i="1"/>
  <c r="AK24" i="1"/>
  <c r="AK9" i="1"/>
  <c r="AM27" i="1"/>
  <c r="AK10" i="1"/>
  <c r="AK14" i="1"/>
  <c r="AK17" i="1"/>
  <c r="AK20" i="1"/>
  <c r="AK26" i="1"/>
  <c r="AK7" i="1"/>
  <c r="AK11" i="1"/>
  <c r="AK15" i="1"/>
  <c r="AK21" i="1"/>
  <c r="AK22" i="1"/>
  <c r="AI33" i="1"/>
  <c r="AC17" i="1"/>
  <c r="AE17" i="1" s="1"/>
  <c r="W17" i="1"/>
  <c r="AA17" i="1" s="1"/>
  <c r="Q17" i="1"/>
  <c r="S17" i="1" s="1"/>
  <c r="M17" i="1"/>
  <c r="F33" i="1"/>
  <c r="AM33" i="1" l="1"/>
  <c r="AK33" i="1"/>
  <c r="AG17" i="1"/>
  <c r="O17" i="1"/>
  <c r="Y17" i="1"/>
  <c r="U17" i="1"/>
  <c r="W20" i="1"/>
  <c r="Y20" i="1" s="1"/>
  <c r="W6" i="1"/>
  <c r="Y6" i="1" s="1"/>
  <c r="Q6" i="1"/>
  <c r="S6" i="1" s="1"/>
  <c r="AD33" i="1"/>
  <c r="AG32" i="1"/>
  <c r="AC27" i="1"/>
  <c r="AG27" i="1" s="1"/>
  <c r="AG23" i="1"/>
  <c r="AC22" i="1"/>
  <c r="AE22" i="1" s="1"/>
  <c r="AC26" i="1"/>
  <c r="AE26" i="1" s="1"/>
  <c r="AC25" i="1"/>
  <c r="AG25" i="1" s="1"/>
  <c r="AC24" i="1"/>
  <c r="AG24" i="1" s="1"/>
  <c r="AG21" i="1"/>
  <c r="AE20" i="1"/>
  <c r="AC19" i="1"/>
  <c r="AG19" i="1" s="1"/>
  <c r="AC18" i="1"/>
  <c r="AG18" i="1" s="1"/>
  <c r="AC16" i="1"/>
  <c r="AG16" i="1" s="1"/>
  <c r="AC15" i="1"/>
  <c r="AG15" i="1" s="1"/>
  <c r="AC14" i="1"/>
  <c r="AE14" i="1" s="1"/>
  <c r="AC13" i="1"/>
  <c r="AC12" i="1"/>
  <c r="AG12" i="1" s="1"/>
  <c r="AC11" i="1"/>
  <c r="AG11" i="1" s="1"/>
  <c r="AC10" i="1"/>
  <c r="AE10" i="1" s="1"/>
  <c r="AC9" i="1"/>
  <c r="AE9" i="1" s="1"/>
  <c r="AC8" i="1"/>
  <c r="AG8" i="1" s="1"/>
  <c r="AC7" i="1"/>
  <c r="AG7" i="1" s="1"/>
  <c r="AC6" i="1"/>
  <c r="AA32" i="1"/>
  <c r="W27" i="1"/>
  <c r="AA27" i="1" s="1"/>
  <c r="AA23" i="1"/>
  <c r="W22" i="1"/>
  <c r="AA22" i="1" s="1"/>
  <c r="W26" i="1"/>
  <c r="AA26" i="1" s="1"/>
  <c r="W25" i="1"/>
  <c r="Y25" i="1" s="1"/>
  <c r="W24" i="1"/>
  <c r="AA24" i="1" s="1"/>
  <c r="W21" i="1"/>
  <c r="AA21" i="1" s="1"/>
  <c r="W19" i="1"/>
  <c r="Y19" i="1" s="1"/>
  <c r="W18" i="1"/>
  <c r="AA18" i="1" s="1"/>
  <c r="W16" i="1"/>
  <c r="Y16" i="1" s="1"/>
  <c r="W15" i="1"/>
  <c r="Y15" i="1" s="1"/>
  <c r="W14" i="1"/>
  <c r="AA14" i="1" s="1"/>
  <c r="W13" i="1"/>
  <c r="AA13" i="1" s="1"/>
  <c r="W12" i="1"/>
  <c r="Y12" i="1" s="1"/>
  <c r="W11" i="1"/>
  <c r="Y11" i="1" s="1"/>
  <c r="W10" i="1"/>
  <c r="AA10" i="1" s="1"/>
  <c r="AA9" i="1"/>
  <c r="W8" i="1"/>
  <c r="Y8" i="1" s="1"/>
  <c r="W7" i="1"/>
  <c r="Y7" i="1" s="1"/>
  <c r="AG13" i="1" l="1"/>
  <c r="AE13" i="1"/>
  <c r="AE32" i="1"/>
  <c r="AG6" i="1"/>
  <c r="AE6" i="1"/>
  <c r="AA6" i="1"/>
  <c r="AG10" i="1"/>
  <c r="AE12" i="1"/>
  <c r="AA19" i="1"/>
  <c r="AA25" i="1"/>
  <c r="AA7" i="1"/>
  <c r="Y23" i="1"/>
  <c r="AE23" i="1"/>
  <c r="AE25" i="1"/>
  <c r="AE19" i="1"/>
  <c r="AG9" i="1"/>
  <c r="AG14" i="1"/>
  <c r="AG22" i="1"/>
  <c r="AE21" i="1"/>
  <c r="AG20" i="1"/>
  <c r="AE15" i="1"/>
  <c r="AE24" i="1"/>
  <c r="AE27" i="1"/>
  <c r="AA12" i="1"/>
  <c r="AA15" i="1"/>
  <c r="Y14" i="1"/>
  <c r="Y21" i="1"/>
  <c r="Y27" i="1"/>
  <c r="Y26" i="1"/>
  <c r="AA11" i="1"/>
  <c r="AA16" i="1"/>
  <c r="Y22" i="1"/>
  <c r="Y32" i="1"/>
  <c r="AA20" i="1"/>
  <c r="AE18" i="1"/>
  <c r="Y18" i="1"/>
  <c r="Y13" i="1"/>
  <c r="AE11" i="1"/>
  <c r="Y10" i="1"/>
  <c r="Y9" i="1"/>
  <c r="AE8" i="1"/>
  <c r="AA8" i="1"/>
  <c r="AE7" i="1"/>
  <c r="AG26" i="1"/>
  <c r="Y24" i="1"/>
  <c r="AE16" i="1"/>
  <c r="AC33" i="1"/>
  <c r="W33" i="1"/>
  <c r="E18" i="1"/>
  <c r="G18" i="1" s="1"/>
  <c r="Q18" i="1"/>
  <c r="U18" i="1" s="1"/>
  <c r="AG33" i="1" l="1"/>
  <c r="AE33" i="1"/>
  <c r="Y33" i="1"/>
  <c r="AA33" i="1"/>
  <c r="I18" i="1"/>
  <c r="O18" i="1"/>
  <c r="S18" i="1"/>
  <c r="M18" i="1"/>
  <c r="R33" i="1" l="1"/>
  <c r="AT36" i="1" s="1"/>
  <c r="S32" i="1"/>
  <c r="Q27" i="1"/>
  <c r="S27" i="1" s="1"/>
  <c r="U23" i="1"/>
  <c r="Q22" i="1"/>
  <c r="U22" i="1" s="1"/>
  <c r="Q26" i="1"/>
  <c r="U26" i="1" s="1"/>
  <c r="Q25" i="1"/>
  <c r="S25" i="1" s="1"/>
  <c r="Q24" i="1"/>
  <c r="S24" i="1" s="1"/>
  <c r="Q21" i="1"/>
  <c r="S21" i="1" s="1"/>
  <c r="Q20" i="1"/>
  <c r="U20" i="1" s="1"/>
  <c r="Q19" i="1"/>
  <c r="U19" i="1" s="1"/>
  <c r="Q16" i="1"/>
  <c r="U16" i="1" s="1"/>
  <c r="Q15" i="1"/>
  <c r="S15" i="1" s="1"/>
  <c r="Q14" i="1"/>
  <c r="S14" i="1" s="1"/>
  <c r="Q13" i="1"/>
  <c r="S13" i="1" s="1"/>
  <c r="Q12" i="1"/>
  <c r="U12" i="1" s="1"/>
  <c r="S11" i="1"/>
  <c r="Q10" i="1"/>
  <c r="S10" i="1" s="1"/>
  <c r="Q9" i="1"/>
  <c r="S9" i="1" s="1"/>
  <c r="Q8" i="1"/>
  <c r="U8" i="1" s="1"/>
  <c r="Q7" i="1"/>
  <c r="S7" i="1" s="1"/>
  <c r="U6" i="1"/>
  <c r="U10" i="1" l="1"/>
  <c r="S22" i="1"/>
  <c r="U7" i="1"/>
  <c r="U25" i="1"/>
  <c r="S26" i="1"/>
  <c r="U14" i="1"/>
  <c r="S16" i="1"/>
  <c r="U15" i="1"/>
  <c r="U24" i="1"/>
  <c r="S8" i="1"/>
  <c r="S23" i="1"/>
  <c r="U27" i="1"/>
  <c r="S12" i="1"/>
  <c r="S19" i="1"/>
  <c r="S20" i="1"/>
  <c r="U32" i="1"/>
  <c r="U11" i="1"/>
  <c r="Q33" i="1"/>
  <c r="U9" i="1"/>
  <c r="U13" i="1"/>
  <c r="U21" i="1"/>
  <c r="S33" i="1" l="1"/>
  <c r="U33" i="1"/>
  <c r="M23" i="1"/>
  <c r="M22" i="1"/>
  <c r="E23" i="1"/>
  <c r="I23" i="1" s="1"/>
  <c r="E22" i="1"/>
  <c r="I22" i="1" s="1"/>
  <c r="O22" i="1" l="1"/>
  <c r="O23" i="1"/>
  <c r="G22" i="1"/>
  <c r="G23" i="1"/>
  <c r="E16" i="1" l="1"/>
  <c r="E15" i="1"/>
  <c r="E14" i="1"/>
  <c r="G14" i="1" l="1"/>
  <c r="I14" i="1"/>
  <c r="M16" i="1"/>
  <c r="O16" i="1"/>
  <c r="I15" i="1"/>
  <c r="G15" i="1"/>
  <c r="M14" i="1"/>
  <c r="O14" i="1"/>
  <c r="I16" i="1"/>
  <c r="G16" i="1"/>
  <c r="M15" i="1"/>
  <c r="O15" i="1"/>
  <c r="C26" i="1" l="1"/>
  <c r="C25" i="1"/>
  <c r="C24" i="1"/>
  <c r="O32" i="1" l="1"/>
  <c r="I32" i="1"/>
  <c r="K27" i="1" l="1"/>
  <c r="K26" i="1"/>
  <c r="O25" i="1"/>
  <c r="E24" i="1"/>
  <c r="E25" i="1"/>
  <c r="E26" i="1"/>
  <c r="E27" i="1"/>
  <c r="G27" i="1" s="1"/>
  <c r="M27" i="1" l="1"/>
  <c r="M32" i="1"/>
  <c r="M26" i="1"/>
  <c r="M25" i="1"/>
  <c r="M24" i="1"/>
  <c r="O13" i="1"/>
  <c r="K8" i="1"/>
  <c r="K7" i="1"/>
  <c r="E11" i="1"/>
  <c r="E12" i="1"/>
  <c r="G12" i="1" s="1"/>
  <c r="E13" i="1"/>
  <c r="G13" i="1" s="1"/>
  <c r="E10" i="1"/>
  <c r="E9" i="1"/>
  <c r="E8" i="1"/>
  <c r="E7" i="1"/>
  <c r="G7" i="1" s="1"/>
  <c r="M12" i="1" l="1"/>
  <c r="M9" i="1"/>
  <c r="M13" i="1"/>
  <c r="M19" i="1"/>
  <c r="M10" i="1"/>
  <c r="M8" i="1"/>
  <c r="M20" i="1"/>
  <c r="M7" i="1"/>
  <c r="M11" i="1"/>
  <c r="M21" i="1"/>
  <c r="O27" i="1" l="1"/>
  <c r="K6" i="1"/>
  <c r="M6" i="1" s="1"/>
  <c r="M33" i="1" s="1"/>
  <c r="O8" i="1" l="1"/>
  <c r="O9" i="1"/>
  <c r="O7" i="1"/>
  <c r="O11" i="1"/>
  <c r="O21" i="1"/>
  <c r="O6" i="1"/>
  <c r="O10" i="1"/>
  <c r="O19" i="1"/>
  <c r="O20" i="1"/>
  <c r="O26" i="1"/>
  <c r="K33" i="1"/>
  <c r="O12" i="1"/>
  <c r="O24" i="1"/>
  <c r="O33" i="1" l="1"/>
  <c r="G32" i="1" l="1"/>
  <c r="I27" i="1"/>
  <c r="I24" i="1"/>
  <c r="I26" i="1" l="1"/>
  <c r="G26" i="1"/>
  <c r="G24" i="1"/>
  <c r="E6" i="1" l="1"/>
  <c r="G6" i="1" s="1"/>
  <c r="I6" i="1" l="1"/>
  <c r="I7" i="1" l="1"/>
  <c r="I25" i="1" l="1"/>
  <c r="G25" i="1"/>
  <c r="I9" i="1"/>
  <c r="I11" i="1"/>
  <c r="I12" i="1"/>
  <c r="E19" i="1"/>
  <c r="E20" i="1"/>
  <c r="I20" i="1" s="1"/>
  <c r="E21" i="1"/>
  <c r="I21" i="1" s="1"/>
  <c r="I8" i="1" l="1"/>
  <c r="G8" i="1"/>
  <c r="I19" i="1"/>
  <c r="G19" i="1"/>
  <c r="I10" i="1"/>
  <c r="G10" i="1"/>
  <c r="I13" i="1"/>
  <c r="G20" i="1"/>
  <c r="I33" i="1" l="1"/>
  <c r="G9" i="1"/>
  <c r="G21" i="1" l="1"/>
  <c r="E33" i="1" l="1"/>
  <c r="G11" i="1"/>
  <c r="G33" i="1" l="1"/>
  <c r="AU36" i="1" s="1"/>
</calcChain>
</file>

<file path=xl/sharedStrings.xml><?xml version="1.0" encoding="utf-8"?>
<sst xmlns="http://schemas.openxmlformats.org/spreadsheetml/2006/main" count="65" uniqueCount="46">
  <si>
    <t>Полное наименование товара</t>
  </si>
  <si>
    <t>шт.</t>
  </si>
  <si>
    <t>кг. нето</t>
  </si>
  <si>
    <t>кол. паллет</t>
  </si>
  <si>
    <t>Вложение на поддон, шт.</t>
  </si>
  <si>
    <t>Минимальный заказ, шт.</t>
  </si>
  <si>
    <t>Йогурт ПЕТ 2,2%  300г Леснаа ягода  ТМ Latti (10 шт)</t>
  </si>
  <si>
    <t>Йогурт ПЕТ 2,2%  300г Злаки ТМ Latti (10 шт)</t>
  </si>
  <si>
    <t>Йогурт ПЕТ 2,2%  300г Клубника ТМ Latti (10 шт)</t>
  </si>
  <si>
    <t>Йогурт ПЕТ 2,2%  300г Абрикос ТМ Latti (10 шт)</t>
  </si>
  <si>
    <t>Кефир ПЕТ 2,5%  870г ТМ Latti (6 шт)</t>
  </si>
  <si>
    <t>Кефир ПЕТ 2,5% 420г ТМ Latti (8 шт)</t>
  </si>
  <si>
    <t>Кефир ПЕТ 1,1%  870г ТМ Latti (6 шт)</t>
  </si>
  <si>
    <t>Заказ 1-ый грузовик</t>
  </si>
  <si>
    <t>Заказ 2-ой грузовик</t>
  </si>
  <si>
    <t>Молоко Тетрафино 900г ТМ Latti 2,5% (15 шт)</t>
  </si>
  <si>
    <t>Молоко Тетрафино 900г ТМ Latti 3,2% (15 шт)</t>
  </si>
  <si>
    <t>Молоко Тетрафино 900г ТМ Latti 1% (15 шт)</t>
  </si>
  <si>
    <t>Йогурт  Натуральный ст. 280 г без сахара ТМ Latti 3,0% (8)</t>
  </si>
  <si>
    <t>Вершки TGA 15% 500г ТМ Latti (12)</t>
  </si>
  <si>
    <t>Вершки TGA 10% 500г ТМ Latti (12)</t>
  </si>
  <si>
    <t>Йогурт ПЕТ 2,2%  800г Леснаа ягода  ТМ Latti (6 шт)</t>
  </si>
  <si>
    <t>Йогурт ПЕТ 2,2%  800г Клубника ТМ Latti (6 шт)</t>
  </si>
  <si>
    <t>Йогурт ПЕТ 2,2%  800г Абрикос ТМ Latti (6 шт)</t>
  </si>
  <si>
    <t xml:space="preserve">Молоко Тетраджимино 950г ТМ Latti 2,5% </t>
  </si>
  <si>
    <t xml:space="preserve">Молоко Тетраджимино 950г ТМ Latti 3,2% </t>
  </si>
  <si>
    <t>Вершки TGA 33% 500г ТМ Latti (12)</t>
  </si>
  <si>
    <t>Заказ 5-ый грузовик</t>
  </si>
  <si>
    <t xml:space="preserve">Сметана стакан 20% 300г ТМ Latti </t>
  </si>
  <si>
    <t>Заказ 3-ий грузовик</t>
  </si>
  <si>
    <t>Заказ 4-ый грузовик</t>
  </si>
  <si>
    <t xml:space="preserve">Сметана стакан 15% 300г ТМ Latti </t>
  </si>
  <si>
    <t>Заказ 6-ой грузовик</t>
  </si>
  <si>
    <t>Ряженка ПЕТ 800г ТМ Latti (6 шт)</t>
  </si>
  <si>
    <t>МАСЛО СЛАДКОВОЧНОЕ ЭКСТРА 82,5% TM “LATTI”, 5КГ</t>
  </si>
  <si>
    <t>МАСЛО СЛАДКОСЛИВОЧНОЕ КРЕСТЬЯНСКОЕ 72,5% TM “LATTI, 5КГ</t>
  </si>
  <si>
    <t>Заказ 7-ой грузовик</t>
  </si>
  <si>
    <t xml:space="preserve">Айран 420г ТМ Latti </t>
  </si>
  <si>
    <t xml:space="preserve">Айран 800г ТМ Latti </t>
  </si>
  <si>
    <t>Загрузка 07.08.2025</t>
  </si>
  <si>
    <t>Кефир ПЕТ 1,1% 420г ТМ Latti (8 шт)</t>
  </si>
  <si>
    <t>Загрузка 27.11.2025</t>
  </si>
  <si>
    <t>Загрузка 01.12.2025</t>
  </si>
  <si>
    <t>Загрузка 02.12.2025</t>
  </si>
  <si>
    <t>Загрузка 03.12.2025</t>
  </si>
  <si>
    <t>Загрузка 04.12.2025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</si>
</sst>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0" tint="-0.34998626667073579"/>
      <name val="Calibri"/>
      <family val="2"/>
      <scheme val="minor"/>
    </font>
    <font>
      <b/>
      <sz val="14"/>
      <color rgb="FFFF000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0" tint="-0.1499984740745262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0" tint="-0.14999847407452621"/>
      <name val="Calibri"/>
      <family val="2"/>
      <charset val="204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/>
    <xf numFmtId="14" fontId="0" fillId="0" borderId="0" xfId="0" applyNumberFormat="1"/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0" fillId="0" borderId="0" xfId="0" applyFont="1"/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vertical="center"/>
    </xf>
    <xf numFmtId="1" fontId="9" fillId="2" borderId="9" xfId="0" applyNumberFormat="1" applyFont="1" applyFill="1" applyBorder="1"/>
    <xf numFmtId="164" fontId="0" fillId="0" borderId="10" xfId="0" applyNumberFormat="1" applyFill="1" applyBorder="1"/>
    <xf numFmtId="164" fontId="0" fillId="0" borderId="10" xfId="0" applyNumberFormat="1" applyBorder="1"/>
    <xf numFmtId="1" fontId="8" fillId="2" borderId="11" xfId="0" applyNumberFormat="1" applyFont="1" applyFill="1" applyBorder="1"/>
    <xf numFmtId="1" fontId="8" fillId="0" borderId="12" xfId="0" applyNumberFormat="1" applyFont="1" applyBorder="1"/>
    <xf numFmtId="2" fontId="10" fillId="0" borderId="0" xfId="0" applyNumberFormat="1" applyFont="1"/>
    <xf numFmtId="1" fontId="0" fillId="0" borderId="0" xfId="0" applyNumberFormat="1"/>
    <xf numFmtId="1" fontId="9" fillId="0" borderId="1" xfId="0" applyNumberFormat="1" applyFont="1" applyFill="1" applyBorder="1"/>
    <xf numFmtId="0" fontId="9" fillId="0" borderId="0" xfId="0" applyFont="1" applyAlignment="1">
      <alignment vertical="center"/>
    </xf>
    <xf numFmtId="164" fontId="0" fillId="0" borderId="0" xfId="0" applyNumberFormat="1"/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2" fontId="0" fillId="0" borderId="0" xfId="0" applyNumberFormat="1"/>
    <xf numFmtId="0" fontId="11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2" fontId="12" fillId="0" borderId="0" xfId="0" applyNumberFormat="1" applyFont="1"/>
    <xf numFmtId="0" fontId="1" fillId="0" borderId="1" xfId="0" applyFont="1" applyBorder="1" applyAlignment="1">
      <alignment horizontal="left" vertical="center" wrapText="1"/>
    </xf>
    <xf numFmtId="164" fontId="8" fillId="3" borderId="13" xfId="0" applyNumberFormat="1" applyFont="1" applyFill="1" applyBorder="1"/>
    <xf numFmtId="0" fontId="13" fillId="0" borderId="0" xfId="0" applyFont="1"/>
    <xf numFmtId="2" fontId="8" fillId="3" borderId="13" xfId="0" applyNumberFormat="1" applyFont="1" applyFill="1" applyBorder="1"/>
    <xf numFmtId="2" fontId="12" fillId="0" borderId="0" xfId="0" applyNumberFormat="1" applyFont="1" applyFill="1"/>
    <xf numFmtId="0" fontId="14" fillId="0" borderId="0" xfId="0" applyFont="1"/>
    <xf numFmtId="0" fontId="15" fillId="0" borderId="0" xfId="0" applyFont="1"/>
    <xf numFmtId="0" fontId="2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6" fillId="0" borderId="0" xfId="0" applyFont="1" applyFill="1" applyBorder="1" applyAlignment="1">
      <alignment horizontal="center"/>
    </xf>
    <xf numFmtId="0" fontId="17" fillId="2" borderId="1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/>
    </xf>
    <xf numFmtId="0" fontId="20" fillId="2" borderId="14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V42"/>
  <sheetViews>
    <sheetView tabSelected="1" zoomScale="80" zoomScaleNormal="80" workbookViewId="0">
      <selection activeCell="X39" sqref="X39"/>
    </sheetView>
  </sheetViews>
  <sheetFormatPr defaultRowHeight="15" x14ac:dyDescent="0.25"/>
  <cols>
    <col min="1" max="1" width="1.7109375" customWidth="1"/>
    <col min="2" max="2" width="49" customWidth="1"/>
    <col min="3" max="3" width="10.28515625" customWidth="1"/>
    <col min="4" max="4" width="9.28515625" customWidth="1"/>
    <col min="5" max="5" width="9.5703125" customWidth="1"/>
    <col min="6" max="6" width="8.5703125" bestFit="1" customWidth="1"/>
    <col min="7" max="7" width="11.7109375" customWidth="1"/>
    <col min="8" max="8" width="5" hidden="1" customWidth="1"/>
    <col min="9" max="9" width="9.28515625" hidden="1" customWidth="1"/>
    <col min="10" max="10" width="2.42578125" customWidth="1"/>
    <col min="11" max="11" width="9.5703125" customWidth="1"/>
    <col min="12" max="12" width="8.5703125" customWidth="1"/>
    <col min="13" max="13" width="11.7109375" customWidth="1"/>
    <col min="14" max="14" width="5" hidden="1" customWidth="1"/>
    <col min="15" max="15" width="9.28515625" hidden="1" customWidth="1"/>
    <col min="16" max="16" width="2.42578125" customWidth="1"/>
    <col min="17" max="17" width="9.5703125" customWidth="1"/>
    <col min="18" max="18" width="8.5703125" customWidth="1"/>
    <col min="19" max="19" width="11.7109375" customWidth="1"/>
    <col min="20" max="20" width="5" hidden="1" customWidth="1"/>
    <col min="21" max="21" width="9.28515625" hidden="1" customWidth="1"/>
    <col min="22" max="22" width="2.42578125" customWidth="1"/>
    <col min="23" max="23" width="10" customWidth="1"/>
    <col min="24" max="24" width="10.140625" customWidth="1"/>
    <col min="25" max="25" width="11.7109375" customWidth="1"/>
    <col min="26" max="26" width="5" hidden="1" customWidth="1"/>
    <col min="27" max="27" width="9.28515625" hidden="1" customWidth="1"/>
    <col min="28" max="28" width="2.42578125" customWidth="1"/>
    <col min="29" max="29" width="9.85546875" customWidth="1"/>
    <col min="30" max="30" width="8.42578125" customWidth="1"/>
    <col min="31" max="31" width="11.7109375" customWidth="1"/>
    <col min="32" max="32" width="5" hidden="1" customWidth="1"/>
    <col min="33" max="33" width="9.28515625" hidden="1" customWidth="1"/>
    <col min="34" max="34" width="2.42578125" hidden="1" customWidth="1"/>
    <col min="35" max="35" width="9.85546875" hidden="1" customWidth="1"/>
    <col min="36" max="36" width="8.42578125" hidden="1" customWidth="1"/>
    <col min="37" max="37" width="11.7109375" hidden="1" customWidth="1"/>
    <col min="38" max="38" width="5" hidden="1" customWidth="1"/>
    <col min="39" max="39" width="9.28515625" hidden="1" customWidth="1"/>
    <col min="40" max="40" width="2.42578125" customWidth="1"/>
    <col min="41" max="41" width="4.28515625" hidden="1" customWidth="1"/>
    <col min="42" max="42" width="8.42578125" hidden="1" customWidth="1"/>
    <col min="43" max="43" width="11.7109375" hidden="1" customWidth="1"/>
    <col min="44" max="45" width="5" hidden="1" customWidth="1"/>
    <col min="46" max="46" width="10.42578125" customWidth="1"/>
    <col min="47" max="47" width="10" bestFit="1" customWidth="1"/>
    <col min="48" max="48" width="7.140625" customWidth="1"/>
  </cols>
  <sheetData>
    <row r="2" spans="2:48" x14ac:dyDescent="0.25">
      <c r="B2" s="3"/>
      <c r="W2" s="6"/>
      <c r="X2" s="6"/>
      <c r="Y2" s="6"/>
      <c r="AC2" s="6"/>
      <c r="AD2" s="6"/>
      <c r="AE2" s="6"/>
      <c r="AI2" s="6"/>
      <c r="AJ2" s="6"/>
      <c r="AK2" s="6"/>
    </row>
    <row r="3" spans="2:48" ht="15.75" thickBot="1" x14ac:dyDescent="0.3">
      <c r="E3" s="44" t="s">
        <v>42</v>
      </c>
      <c r="F3" s="44"/>
      <c r="G3" s="44"/>
      <c r="H3" s="6"/>
      <c r="I3" s="6"/>
      <c r="K3" s="44" t="s">
        <v>43</v>
      </c>
      <c r="L3" s="44"/>
      <c r="M3" s="44"/>
      <c r="N3" s="6"/>
      <c r="O3" s="6"/>
      <c r="Q3" s="44" t="s">
        <v>44</v>
      </c>
      <c r="R3" s="44"/>
      <c r="S3" s="44"/>
      <c r="T3" s="6"/>
      <c r="U3" s="6"/>
      <c r="W3" s="44" t="s">
        <v>45</v>
      </c>
      <c r="X3" s="44"/>
      <c r="Y3" s="44"/>
      <c r="Z3" s="6"/>
      <c r="AA3" s="33"/>
      <c r="AB3" s="33"/>
      <c r="AC3" s="44" t="s">
        <v>45</v>
      </c>
      <c r="AD3" s="44"/>
      <c r="AE3" s="44"/>
      <c r="AF3" s="6"/>
      <c r="AG3" s="33"/>
      <c r="AH3" s="33"/>
      <c r="AI3" s="52" t="s">
        <v>41</v>
      </c>
      <c r="AJ3" s="52"/>
      <c r="AK3" s="52"/>
      <c r="AL3" s="6"/>
      <c r="AM3" s="6"/>
      <c r="AO3" s="37" t="s">
        <v>39</v>
      </c>
      <c r="AP3" s="37"/>
      <c r="AQ3" s="37"/>
      <c r="AR3" s="6"/>
      <c r="AS3" s="6"/>
    </row>
    <row r="4" spans="2:48" ht="15.75" thickBot="1" x14ac:dyDescent="0.3">
      <c r="B4" s="48" t="s">
        <v>0</v>
      </c>
      <c r="C4" s="50" t="s">
        <v>5</v>
      </c>
      <c r="D4" s="51" t="s">
        <v>4</v>
      </c>
      <c r="E4" s="45" t="s">
        <v>13</v>
      </c>
      <c r="F4" s="46"/>
      <c r="G4" s="47"/>
      <c r="H4" s="6"/>
      <c r="I4" s="6"/>
      <c r="K4" s="45" t="s">
        <v>14</v>
      </c>
      <c r="L4" s="46"/>
      <c r="M4" s="47"/>
      <c r="N4" s="6"/>
      <c r="O4" s="6"/>
      <c r="Q4" s="45" t="s">
        <v>29</v>
      </c>
      <c r="R4" s="46"/>
      <c r="S4" s="47"/>
      <c r="T4" s="6"/>
      <c r="U4" s="6"/>
      <c r="W4" s="41" t="s">
        <v>30</v>
      </c>
      <c r="X4" s="42"/>
      <c r="Y4" s="43"/>
      <c r="Z4" s="6"/>
      <c r="AA4" s="34"/>
      <c r="AB4" s="34"/>
      <c r="AC4" s="41" t="s">
        <v>27</v>
      </c>
      <c r="AD4" s="42"/>
      <c r="AE4" s="43"/>
      <c r="AF4" s="6"/>
      <c r="AG4" s="34"/>
      <c r="AH4" s="34"/>
      <c r="AI4" s="53" t="s">
        <v>32</v>
      </c>
      <c r="AJ4" s="54"/>
      <c r="AK4" s="55"/>
      <c r="AL4" s="6"/>
      <c r="AM4" s="6"/>
      <c r="AO4" s="38" t="s">
        <v>36</v>
      </c>
      <c r="AP4" s="39"/>
      <c r="AQ4" s="40"/>
      <c r="AR4" s="6"/>
      <c r="AS4" s="6"/>
    </row>
    <row r="5" spans="2:48" x14ac:dyDescent="0.25">
      <c r="B5" s="49"/>
      <c r="C5" s="50"/>
      <c r="D5" s="51"/>
      <c r="E5" s="9" t="s">
        <v>1</v>
      </c>
      <c r="F5" s="10" t="s">
        <v>2</v>
      </c>
      <c r="G5" s="11" t="s">
        <v>3</v>
      </c>
      <c r="H5" s="6"/>
      <c r="I5" s="6"/>
      <c r="K5" s="9" t="s">
        <v>1</v>
      </c>
      <c r="L5" s="10" t="s">
        <v>2</v>
      </c>
      <c r="M5" s="11" t="s">
        <v>3</v>
      </c>
      <c r="N5" s="6"/>
      <c r="O5" s="6"/>
      <c r="Q5" s="9" t="s">
        <v>1</v>
      </c>
      <c r="R5" s="10" t="s">
        <v>2</v>
      </c>
      <c r="S5" s="11" t="s">
        <v>3</v>
      </c>
      <c r="T5" s="6"/>
      <c r="U5" s="6"/>
      <c r="W5" s="9" t="s">
        <v>1</v>
      </c>
      <c r="X5" s="10" t="s">
        <v>2</v>
      </c>
      <c r="Y5" s="11" t="s">
        <v>3</v>
      </c>
      <c r="Z5" s="6"/>
      <c r="AA5" s="6"/>
      <c r="AC5" s="9" t="s">
        <v>1</v>
      </c>
      <c r="AD5" s="10" t="s">
        <v>2</v>
      </c>
      <c r="AE5" s="11" t="s">
        <v>3</v>
      </c>
      <c r="AF5" s="6"/>
      <c r="AG5" s="6"/>
      <c r="AI5" s="9" t="s">
        <v>1</v>
      </c>
      <c r="AJ5" s="10" t="s">
        <v>2</v>
      </c>
      <c r="AK5" s="11" t="s">
        <v>3</v>
      </c>
      <c r="AL5" s="6"/>
      <c r="AM5" s="6"/>
      <c r="AO5" s="9" t="s">
        <v>1</v>
      </c>
      <c r="AP5" s="10" t="s">
        <v>2</v>
      </c>
      <c r="AQ5" s="11" t="s">
        <v>3</v>
      </c>
      <c r="AR5" s="6"/>
      <c r="AS5" s="6"/>
    </row>
    <row r="6" spans="2:48" x14ac:dyDescent="0.25">
      <c r="B6" s="28" t="s">
        <v>40</v>
      </c>
      <c r="C6" s="4">
        <v>1000</v>
      </c>
      <c r="D6" s="7">
        <v>864</v>
      </c>
      <c r="E6" s="12">
        <f>F6/0.42</f>
        <v>0</v>
      </c>
      <c r="F6" s="19"/>
      <c r="G6" s="13">
        <f>E6/D6</f>
        <v>0</v>
      </c>
      <c r="H6" s="17">
        <v>0.31</v>
      </c>
      <c r="I6" s="17">
        <f>E6*H6</f>
        <v>0</v>
      </c>
      <c r="K6" s="12">
        <f>L6/0.42</f>
        <v>0</v>
      </c>
      <c r="L6" s="19"/>
      <c r="M6" s="13">
        <f>K6/D6</f>
        <v>0</v>
      </c>
      <c r="N6" s="17">
        <v>0.31</v>
      </c>
      <c r="O6" s="17">
        <f>K6*N6</f>
        <v>0</v>
      </c>
      <c r="Q6" s="12">
        <f>R6/0.42</f>
        <v>1428.5714285714287</v>
      </c>
      <c r="R6" s="19">
        <v>600</v>
      </c>
      <c r="S6" s="13">
        <f>Q6/D6</f>
        <v>1.6534391534391535</v>
      </c>
      <c r="T6" s="17">
        <v>0.31</v>
      </c>
      <c r="U6" s="17">
        <f>Q6*T6</f>
        <v>442.85714285714289</v>
      </c>
      <c r="W6" s="12">
        <f>X6/0.42</f>
        <v>0</v>
      </c>
      <c r="X6" s="19"/>
      <c r="Y6" s="13">
        <f>W6/D6</f>
        <v>0</v>
      </c>
      <c r="Z6" s="17">
        <v>0.31</v>
      </c>
      <c r="AA6" s="17">
        <f>W6*Z6</f>
        <v>0</v>
      </c>
      <c r="AC6" s="12">
        <f>AD6/0.42</f>
        <v>0</v>
      </c>
      <c r="AD6" s="19"/>
      <c r="AE6" s="13">
        <f>AC6/D6</f>
        <v>0</v>
      </c>
      <c r="AF6" s="17">
        <v>0.31</v>
      </c>
      <c r="AG6" s="17">
        <f>AC6*AF6</f>
        <v>0</v>
      </c>
      <c r="AI6" s="12">
        <f>AJ6/0.42</f>
        <v>0</v>
      </c>
      <c r="AJ6" s="19"/>
      <c r="AK6" s="13">
        <f>AI6/D6</f>
        <v>0</v>
      </c>
      <c r="AL6" s="17">
        <v>0.31</v>
      </c>
      <c r="AM6" s="17">
        <f>AI6*AL6</f>
        <v>0</v>
      </c>
      <c r="AO6" s="12">
        <f>AP6/0.42</f>
        <v>0</v>
      </c>
      <c r="AP6" s="19"/>
      <c r="AQ6" s="13">
        <f>AO6/D6</f>
        <v>0</v>
      </c>
      <c r="AR6" s="17">
        <v>0.31</v>
      </c>
      <c r="AS6" s="17">
        <f>AO6*AR6</f>
        <v>0</v>
      </c>
      <c r="AT6" s="32">
        <v>600</v>
      </c>
      <c r="AU6" s="27">
        <f>AT6-L6-F6-R6-X6-AD6-AJ6-AP6</f>
        <v>0</v>
      </c>
    </row>
    <row r="7" spans="2:48" x14ac:dyDescent="0.25">
      <c r="B7" s="23" t="s">
        <v>12</v>
      </c>
      <c r="C7" s="1">
        <v>1200</v>
      </c>
      <c r="D7" s="8">
        <v>600</v>
      </c>
      <c r="E7" s="12">
        <f>F7/0.87</f>
        <v>0</v>
      </c>
      <c r="F7" s="19"/>
      <c r="G7" s="14">
        <f t="shared" ref="G7:G26" si="0">E7/D7</f>
        <v>0</v>
      </c>
      <c r="H7" s="17">
        <v>0.52</v>
      </c>
      <c r="I7" s="17">
        <f t="shared" ref="I7:I32" si="1">E7*H7</f>
        <v>0</v>
      </c>
      <c r="K7" s="12">
        <f>L7/0.87</f>
        <v>0</v>
      </c>
      <c r="L7" s="19"/>
      <c r="M7" s="13">
        <f>K7/D7</f>
        <v>0</v>
      </c>
      <c r="N7" s="17">
        <v>0.52</v>
      </c>
      <c r="O7" s="17">
        <f t="shared" ref="O7:O32" si="2">K7*N7</f>
        <v>0</v>
      </c>
      <c r="Q7" s="12">
        <f>R7/0.87</f>
        <v>1800</v>
      </c>
      <c r="R7" s="19">
        <v>1566</v>
      </c>
      <c r="S7" s="13">
        <f t="shared" ref="S7:S32" si="3">Q7/D7</f>
        <v>3</v>
      </c>
      <c r="T7" s="17">
        <v>0.52</v>
      </c>
      <c r="U7" s="17">
        <f t="shared" ref="U7:U16" si="4">Q7*T7</f>
        <v>936</v>
      </c>
      <c r="W7" s="12">
        <f>X7/0.87</f>
        <v>0</v>
      </c>
      <c r="X7" s="19"/>
      <c r="Y7" s="13">
        <f t="shared" ref="Y7:Y32" si="5">W7/D7</f>
        <v>0</v>
      </c>
      <c r="Z7" s="17">
        <v>0.52</v>
      </c>
      <c r="AA7" s="17">
        <f t="shared" ref="AA7:AA16" si="6">W7*Z7</f>
        <v>0</v>
      </c>
      <c r="AC7" s="12">
        <f>AD7/0.87</f>
        <v>0</v>
      </c>
      <c r="AD7" s="19"/>
      <c r="AE7" s="13">
        <f t="shared" ref="AE7:AE32" si="7">AC7/D7</f>
        <v>0</v>
      </c>
      <c r="AF7" s="17">
        <v>0.52</v>
      </c>
      <c r="AG7" s="17">
        <f t="shared" ref="AG7:AG16" si="8">AC7*AF7</f>
        <v>0</v>
      </c>
      <c r="AI7" s="12">
        <f>AJ7/0.87</f>
        <v>0</v>
      </c>
      <c r="AJ7" s="19"/>
      <c r="AK7" s="13">
        <f t="shared" ref="AK7:AK32" si="9">AI7/D7</f>
        <v>0</v>
      </c>
      <c r="AL7" s="17">
        <v>0.52</v>
      </c>
      <c r="AM7" s="17">
        <f t="shared" ref="AM7:AM16" si="10">AI7*AL7</f>
        <v>0</v>
      </c>
      <c r="AO7" s="12">
        <f>AP7/0.87</f>
        <v>0</v>
      </c>
      <c r="AP7" s="19"/>
      <c r="AQ7" s="13">
        <f>AO7/D7</f>
        <v>0</v>
      </c>
      <c r="AR7" s="17">
        <v>0.52</v>
      </c>
      <c r="AS7" s="17">
        <f t="shared" ref="AS7:AS16" si="11">AO7*AR7</f>
        <v>0</v>
      </c>
      <c r="AT7" s="32">
        <v>1566</v>
      </c>
      <c r="AU7" s="27">
        <f>AT7-L7-F7-R7-X7-AD7-AJ7-AP7</f>
        <v>0</v>
      </c>
    </row>
    <row r="8" spans="2:48" x14ac:dyDescent="0.25">
      <c r="B8" s="5" t="s">
        <v>11</v>
      </c>
      <c r="C8" s="4">
        <v>1000</v>
      </c>
      <c r="D8" s="7">
        <v>864</v>
      </c>
      <c r="E8" s="12">
        <f>F8/0.42</f>
        <v>0</v>
      </c>
      <c r="F8" s="19"/>
      <c r="G8" s="13">
        <f>E8/D8</f>
        <v>0</v>
      </c>
      <c r="H8" s="17">
        <v>0.32</v>
      </c>
      <c r="I8" s="17">
        <f t="shared" si="1"/>
        <v>0</v>
      </c>
      <c r="K8" s="12">
        <f>L8/0.42</f>
        <v>1728.0952380952381</v>
      </c>
      <c r="L8" s="19">
        <v>725.8</v>
      </c>
      <c r="M8" s="13">
        <f t="shared" ref="M8:M31" si="12">K8/D8</f>
        <v>2.000110229276896</v>
      </c>
      <c r="N8" s="17">
        <v>0.32</v>
      </c>
      <c r="O8" s="17">
        <f t="shared" si="2"/>
        <v>552.99047619047622</v>
      </c>
      <c r="Q8" s="12">
        <f>R8/0.42</f>
        <v>1728.0952380952381</v>
      </c>
      <c r="R8" s="19">
        <v>725.8</v>
      </c>
      <c r="S8" s="13">
        <f t="shared" si="3"/>
        <v>2.000110229276896</v>
      </c>
      <c r="T8" s="17">
        <v>0.32</v>
      </c>
      <c r="U8" s="17">
        <f t="shared" si="4"/>
        <v>552.99047619047622</v>
      </c>
      <c r="W8" s="12">
        <f>X8/0.42</f>
        <v>2592.1428571428573</v>
      </c>
      <c r="X8" s="19">
        <v>1088.7</v>
      </c>
      <c r="Y8" s="13">
        <f t="shared" si="5"/>
        <v>3.0001653439153442</v>
      </c>
      <c r="Z8" s="17">
        <v>0.32</v>
      </c>
      <c r="AA8" s="17">
        <f t="shared" si="6"/>
        <v>829.48571428571438</v>
      </c>
      <c r="AC8" s="12">
        <f>AD8/0.42</f>
        <v>0</v>
      </c>
      <c r="AD8" s="19"/>
      <c r="AE8" s="13">
        <f t="shared" si="7"/>
        <v>0</v>
      </c>
      <c r="AF8" s="17">
        <v>0.32</v>
      </c>
      <c r="AG8" s="17">
        <f t="shared" si="8"/>
        <v>0</v>
      </c>
      <c r="AI8" s="12">
        <f>AJ8/0.42</f>
        <v>0</v>
      </c>
      <c r="AJ8" s="19"/>
      <c r="AK8" s="13">
        <f t="shared" si="9"/>
        <v>0</v>
      </c>
      <c r="AL8" s="17">
        <v>0.32</v>
      </c>
      <c r="AM8" s="17">
        <f t="shared" si="10"/>
        <v>0</v>
      </c>
      <c r="AO8" s="12">
        <f>AP8/0.42</f>
        <v>0</v>
      </c>
      <c r="AP8" s="19"/>
      <c r="AQ8" s="13">
        <f t="shared" ref="AQ8:AQ32" si="13">AO8/D8</f>
        <v>0</v>
      </c>
      <c r="AR8" s="17">
        <v>0.32</v>
      </c>
      <c r="AS8" s="17">
        <f t="shared" si="11"/>
        <v>0</v>
      </c>
      <c r="AT8" s="32">
        <v>2540.3000000000002</v>
      </c>
      <c r="AU8" s="27">
        <f t="shared" ref="AU8:AU32" si="14">AT8-L8-F8-R8-X8-AD8-AJ8-AP8</f>
        <v>2.2737367544323206E-13</v>
      </c>
    </row>
    <row r="9" spans="2:48" x14ac:dyDescent="0.25">
      <c r="B9" s="22" t="s">
        <v>10</v>
      </c>
      <c r="C9" s="1">
        <v>1200</v>
      </c>
      <c r="D9" s="8">
        <v>600</v>
      </c>
      <c r="E9" s="12">
        <f>F9/0.87</f>
        <v>4200</v>
      </c>
      <c r="F9" s="19">
        <v>3654</v>
      </c>
      <c r="G9" s="14">
        <f t="shared" si="0"/>
        <v>7</v>
      </c>
      <c r="H9" s="17">
        <v>0.57999999999999996</v>
      </c>
      <c r="I9" s="17">
        <f t="shared" si="1"/>
        <v>2436</v>
      </c>
      <c r="K9" s="12">
        <f>L9/0.87</f>
        <v>4800</v>
      </c>
      <c r="L9" s="19">
        <v>4176</v>
      </c>
      <c r="M9" s="13">
        <f t="shared" si="12"/>
        <v>8</v>
      </c>
      <c r="N9" s="17">
        <v>0.57999999999999996</v>
      </c>
      <c r="O9" s="17">
        <f t="shared" si="2"/>
        <v>2784</v>
      </c>
      <c r="Q9" s="12">
        <f>R9/0.87</f>
        <v>3600</v>
      </c>
      <c r="R9" s="19">
        <v>3132</v>
      </c>
      <c r="S9" s="13">
        <f t="shared" si="3"/>
        <v>6</v>
      </c>
      <c r="T9" s="17">
        <v>0.57999999999999996</v>
      </c>
      <c r="U9" s="17">
        <f t="shared" si="4"/>
        <v>2088</v>
      </c>
      <c r="W9" s="12">
        <f>X9/0.87</f>
        <v>4200</v>
      </c>
      <c r="X9" s="19">
        <v>3654</v>
      </c>
      <c r="Y9" s="13">
        <f t="shared" si="5"/>
        <v>7</v>
      </c>
      <c r="Z9" s="17">
        <v>0.57999999999999996</v>
      </c>
      <c r="AA9" s="17">
        <f t="shared" si="6"/>
        <v>2436</v>
      </c>
      <c r="AC9" s="12">
        <f>AD9/0.87</f>
        <v>4200</v>
      </c>
      <c r="AD9" s="19">
        <v>3654</v>
      </c>
      <c r="AE9" s="13">
        <f t="shared" si="7"/>
        <v>7</v>
      </c>
      <c r="AF9" s="17">
        <v>0.57999999999999996</v>
      </c>
      <c r="AG9" s="17">
        <f t="shared" si="8"/>
        <v>2436</v>
      </c>
      <c r="AI9" s="12">
        <f>AJ9/0.87</f>
        <v>0</v>
      </c>
      <c r="AJ9" s="19"/>
      <c r="AK9" s="13">
        <f t="shared" si="9"/>
        <v>0</v>
      </c>
      <c r="AL9" s="17">
        <v>0.57999999999999996</v>
      </c>
      <c r="AM9" s="17">
        <f t="shared" si="10"/>
        <v>0</v>
      </c>
      <c r="AO9" s="12">
        <f>AP9/0.87</f>
        <v>0</v>
      </c>
      <c r="AP9" s="19"/>
      <c r="AQ9" s="13">
        <f t="shared" si="13"/>
        <v>0</v>
      </c>
      <c r="AR9" s="17">
        <v>0.57999999999999996</v>
      </c>
      <c r="AS9" s="17">
        <f t="shared" si="11"/>
        <v>0</v>
      </c>
      <c r="AT9" s="32">
        <v>18270</v>
      </c>
      <c r="AU9" s="27">
        <f t="shared" si="14"/>
        <v>0</v>
      </c>
    </row>
    <row r="10" spans="2:48" x14ac:dyDescent="0.25">
      <c r="B10" s="5" t="s">
        <v>9</v>
      </c>
      <c r="C10" s="1">
        <v>1000</v>
      </c>
      <c r="D10" s="8">
        <v>1320</v>
      </c>
      <c r="E10" s="12">
        <f>F10/0.3</f>
        <v>0</v>
      </c>
      <c r="F10" s="19"/>
      <c r="G10" s="14">
        <f>E10/D10</f>
        <v>0</v>
      </c>
      <c r="H10" s="17">
        <v>0.33</v>
      </c>
      <c r="I10" s="17">
        <f t="shared" si="1"/>
        <v>0</v>
      </c>
      <c r="K10" s="12">
        <f>L10/0.3</f>
        <v>0</v>
      </c>
      <c r="L10" s="19"/>
      <c r="M10" s="13">
        <f t="shared" si="12"/>
        <v>0</v>
      </c>
      <c r="N10" s="17">
        <v>0.33</v>
      </c>
      <c r="O10" s="17">
        <f t="shared" si="2"/>
        <v>0</v>
      </c>
      <c r="Q10" s="12">
        <f>R10/0.3</f>
        <v>1333.3333333333335</v>
      </c>
      <c r="R10" s="19">
        <v>400</v>
      </c>
      <c r="S10" s="13">
        <f t="shared" si="3"/>
        <v>1.0101010101010102</v>
      </c>
      <c r="T10" s="17">
        <v>0.33</v>
      </c>
      <c r="U10" s="17">
        <f t="shared" si="4"/>
        <v>440.00000000000006</v>
      </c>
      <c r="W10" s="12">
        <f>X10/0.3</f>
        <v>0</v>
      </c>
      <c r="X10" s="19"/>
      <c r="Y10" s="13">
        <f t="shared" si="5"/>
        <v>0</v>
      </c>
      <c r="Z10" s="17">
        <v>0.33</v>
      </c>
      <c r="AA10" s="17">
        <f t="shared" si="6"/>
        <v>0</v>
      </c>
      <c r="AC10" s="12">
        <f>AD10/0.3</f>
        <v>0</v>
      </c>
      <c r="AD10" s="19"/>
      <c r="AE10" s="13">
        <f t="shared" si="7"/>
        <v>0</v>
      </c>
      <c r="AF10" s="17">
        <v>0.33</v>
      </c>
      <c r="AG10" s="17">
        <f t="shared" si="8"/>
        <v>0</v>
      </c>
      <c r="AI10" s="12">
        <f>AJ10/0.3</f>
        <v>0</v>
      </c>
      <c r="AJ10" s="19"/>
      <c r="AK10" s="13">
        <f t="shared" si="9"/>
        <v>0</v>
      </c>
      <c r="AL10" s="17">
        <v>0.33</v>
      </c>
      <c r="AM10" s="17">
        <f t="shared" si="10"/>
        <v>0</v>
      </c>
      <c r="AO10" s="12">
        <f>AP10/0.3</f>
        <v>0</v>
      </c>
      <c r="AP10" s="19"/>
      <c r="AQ10" s="13">
        <f t="shared" si="13"/>
        <v>0</v>
      </c>
      <c r="AR10" s="17">
        <v>0.33</v>
      </c>
      <c r="AS10" s="17">
        <f t="shared" si="11"/>
        <v>0</v>
      </c>
      <c r="AT10" s="32">
        <v>400</v>
      </c>
      <c r="AU10" s="27">
        <f t="shared" si="14"/>
        <v>0</v>
      </c>
    </row>
    <row r="11" spans="2:48" ht="17.25" customHeight="1" x14ac:dyDescent="0.3">
      <c r="B11" s="5" t="s">
        <v>8</v>
      </c>
      <c r="C11" s="1">
        <v>1000</v>
      </c>
      <c r="D11" s="8">
        <v>1320</v>
      </c>
      <c r="E11" s="12">
        <f t="shared" ref="E11:E13" si="15">F11/0.3</f>
        <v>1000</v>
      </c>
      <c r="F11" s="19">
        <v>300</v>
      </c>
      <c r="G11" s="14">
        <f t="shared" si="0"/>
        <v>0.75757575757575757</v>
      </c>
      <c r="H11" s="17">
        <v>0.33</v>
      </c>
      <c r="I11" s="17">
        <f t="shared" si="1"/>
        <v>330</v>
      </c>
      <c r="K11" s="12">
        <f t="shared" ref="K11:K13" si="16">L11/0.3</f>
        <v>1000</v>
      </c>
      <c r="L11" s="19">
        <v>300</v>
      </c>
      <c r="M11" s="13">
        <f t="shared" si="12"/>
        <v>0.75757575757575757</v>
      </c>
      <c r="N11" s="17">
        <v>0.33</v>
      </c>
      <c r="O11" s="17">
        <f t="shared" si="2"/>
        <v>330</v>
      </c>
      <c r="Q11" s="12">
        <f t="shared" ref="Q11:Q13" si="17">R11/0.3</f>
        <v>0</v>
      </c>
      <c r="R11" s="19"/>
      <c r="S11" s="13">
        <f t="shared" si="3"/>
        <v>0</v>
      </c>
      <c r="T11" s="17">
        <v>0.33</v>
      </c>
      <c r="U11" s="17">
        <f t="shared" si="4"/>
        <v>0</v>
      </c>
      <c r="W11" s="12">
        <f t="shared" ref="W11:W13" si="18">X11/0.3</f>
        <v>0</v>
      </c>
      <c r="X11" s="19"/>
      <c r="Y11" s="13">
        <f t="shared" si="5"/>
        <v>0</v>
      </c>
      <c r="Z11" s="17">
        <v>0.33</v>
      </c>
      <c r="AA11" s="17">
        <f t="shared" si="6"/>
        <v>0</v>
      </c>
      <c r="AC11" s="12">
        <f t="shared" ref="AC11:AC13" si="19">AD11/0.3</f>
        <v>1333.3333333333335</v>
      </c>
      <c r="AD11" s="19">
        <v>400</v>
      </c>
      <c r="AE11" s="13">
        <f t="shared" si="7"/>
        <v>1.0101010101010102</v>
      </c>
      <c r="AF11" s="17">
        <v>0.33</v>
      </c>
      <c r="AG11" s="17">
        <f t="shared" si="8"/>
        <v>440.00000000000006</v>
      </c>
      <c r="AI11" s="12">
        <f t="shared" ref="AI11:AI13" si="20">AJ11/0.3</f>
        <v>0</v>
      </c>
      <c r="AJ11" s="19"/>
      <c r="AK11" s="13">
        <f t="shared" si="9"/>
        <v>0</v>
      </c>
      <c r="AL11" s="17">
        <v>0.33</v>
      </c>
      <c r="AM11" s="17">
        <f t="shared" si="10"/>
        <v>0</v>
      </c>
      <c r="AO11" s="12">
        <f t="shared" ref="AO11:AO13" si="21">AP11/0.3</f>
        <v>0</v>
      </c>
      <c r="AP11" s="19"/>
      <c r="AQ11" s="13">
        <f t="shared" si="13"/>
        <v>0</v>
      </c>
      <c r="AR11" s="17">
        <v>0.33</v>
      </c>
      <c r="AS11" s="17">
        <f t="shared" si="11"/>
        <v>0</v>
      </c>
      <c r="AT11" s="32">
        <v>1000</v>
      </c>
      <c r="AU11" s="27">
        <f t="shared" si="14"/>
        <v>0</v>
      </c>
      <c r="AV11" s="30"/>
    </row>
    <row r="12" spans="2:48" x14ac:dyDescent="0.25">
      <c r="B12" s="5" t="s">
        <v>7</v>
      </c>
      <c r="C12" s="1">
        <v>1000</v>
      </c>
      <c r="D12" s="8">
        <v>1320</v>
      </c>
      <c r="E12" s="12">
        <f t="shared" si="15"/>
        <v>1333.3333333333335</v>
      </c>
      <c r="F12" s="19">
        <v>400</v>
      </c>
      <c r="G12" s="14">
        <f t="shared" si="0"/>
        <v>1.0101010101010102</v>
      </c>
      <c r="H12" s="17">
        <v>0.33</v>
      </c>
      <c r="I12" s="17">
        <f t="shared" si="1"/>
        <v>440.00000000000006</v>
      </c>
      <c r="K12" s="12">
        <f t="shared" si="16"/>
        <v>0</v>
      </c>
      <c r="L12" s="19"/>
      <c r="M12" s="13">
        <f t="shared" si="12"/>
        <v>0</v>
      </c>
      <c r="N12" s="17">
        <v>0.33</v>
      </c>
      <c r="O12" s="17">
        <f t="shared" si="2"/>
        <v>0</v>
      </c>
      <c r="Q12" s="12">
        <f t="shared" si="17"/>
        <v>1333.3333333333335</v>
      </c>
      <c r="R12" s="19">
        <v>400</v>
      </c>
      <c r="S12" s="13">
        <f t="shared" si="3"/>
        <v>1.0101010101010102</v>
      </c>
      <c r="T12" s="17">
        <v>0.33</v>
      </c>
      <c r="U12" s="17">
        <f t="shared" si="4"/>
        <v>440.00000000000006</v>
      </c>
      <c r="W12" s="12">
        <f t="shared" si="18"/>
        <v>0</v>
      </c>
      <c r="X12" s="19"/>
      <c r="Y12" s="13">
        <f t="shared" si="5"/>
        <v>0</v>
      </c>
      <c r="Z12" s="17">
        <v>0.33</v>
      </c>
      <c r="AA12" s="17">
        <f t="shared" si="6"/>
        <v>0</v>
      </c>
      <c r="AC12" s="12">
        <f t="shared" si="19"/>
        <v>0</v>
      </c>
      <c r="AD12" s="19"/>
      <c r="AE12" s="13">
        <f t="shared" si="7"/>
        <v>0</v>
      </c>
      <c r="AF12" s="17">
        <v>0.33</v>
      </c>
      <c r="AG12" s="17">
        <f t="shared" si="8"/>
        <v>0</v>
      </c>
      <c r="AI12" s="12">
        <f t="shared" si="20"/>
        <v>0</v>
      </c>
      <c r="AJ12" s="19"/>
      <c r="AK12" s="13">
        <f t="shared" si="9"/>
        <v>0</v>
      </c>
      <c r="AL12" s="17">
        <v>0.33</v>
      </c>
      <c r="AM12" s="17">
        <f t="shared" si="10"/>
        <v>0</v>
      </c>
      <c r="AO12" s="12">
        <f t="shared" si="21"/>
        <v>0</v>
      </c>
      <c r="AP12" s="19"/>
      <c r="AQ12" s="13">
        <f t="shared" si="13"/>
        <v>0</v>
      </c>
      <c r="AR12" s="17">
        <v>0.33</v>
      </c>
      <c r="AS12" s="17">
        <f t="shared" si="11"/>
        <v>0</v>
      </c>
      <c r="AT12" s="32">
        <v>800</v>
      </c>
      <c r="AU12" s="27">
        <f t="shared" si="14"/>
        <v>0</v>
      </c>
    </row>
    <row r="13" spans="2:48" x14ac:dyDescent="0.25">
      <c r="B13" s="5" t="s">
        <v>6</v>
      </c>
      <c r="C13" s="1">
        <v>1000</v>
      </c>
      <c r="D13" s="8">
        <v>1320</v>
      </c>
      <c r="E13" s="12">
        <f t="shared" si="15"/>
        <v>1333.3333333333335</v>
      </c>
      <c r="F13" s="19">
        <v>400</v>
      </c>
      <c r="G13" s="14">
        <f t="shared" ref="G13:G19" si="22">E13/D13</f>
        <v>1.0101010101010102</v>
      </c>
      <c r="H13" s="17">
        <v>0.33</v>
      </c>
      <c r="I13" s="17">
        <f t="shared" si="1"/>
        <v>440.00000000000006</v>
      </c>
      <c r="K13" s="12">
        <f t="shared" si="16"/>
        <v>0</v>
      </c>
      <c r="L13" s="19"/>
      <c r="M13" s="13">
        <f t="shared" si="12"/>
        <v>0</v>
      </c>
      <c r="N13" s="17">
        <v>0.33</v>
      </c>
      <c r="O13" s="17">
        <f t="shared" ref="O13:O17" si="23">K13*N13</f>
        <v>0</v>
      </c>
      <c r="Q13" s="12">
        <f t="shared" si="17"/>
        <v>1333.3333333333335</v>
      </c>
      <c r="R13" s="19">
        <v>400</v>
      </c>
      <c r="S13" s="13">
        <f t="shared" si="3"/>
        <v>1.0101010101010102</v>
      </c>
      <c r="T13" s="17">
        <v>0.33</v>
      </c>
      <c r="U13" s="17">
        <f t="shared" si="4"/>
        <v>440.00000000000006</v>
      </c>
      <c r="W13" s="12">
        <f t="shared" si="18"/>
        <v>0</v>
      </c>
      <c r="X13" s="19"/>
      <c r="Y13" s="13">
        <f t="shared" si="5"/>
        <v>0</v>
      </c>
      <c r="Z13" s="17">
        <v>0.33</v>
      </c>
      <c r="AA13" s="17">
        <f t="shared" si="6"/>
        <v>0</v>
      </c>
      <c r="AC13" s="12">
        <f t="shared" si="19"/>
        <v>0</v>
      </c>
      <c r="AD13" s="19"/>
      <c r="AE13" s="13">
        <f t="shared" si="7"/>
        <v>0</v>
      </c>
      <c r="AF13" s="17">
        <v>0.33</v>
      </c>
      <c r="AG13" s="17">
        <f t="shared" si="8"/>
        <v>0</v>
      </c>
      <c r="AI13" s="12">
        <f t="shared" si="20"/>
        <v>0</v>
      </c>
      <c r="AJ13" s="19"/>
      <c r="AK13" s="13">
        <f t="shared" si="9"/>
        <v>0</v>
      </c>
      <c r="AL13" s="17">
        <v>0.33</v>
      </c>
      <c r="AM13" s="17">
        <f t="shared" si="10"/>
        <v>0</v>
      </c>
      <c r="AO13" s="12">
        <f t="shared" si="21"/>
        <v>0</v>
      </c>
      <c r="AP13" s="19"/>
      <c r="AQ13" s="13">
        <f t="shared" si="13"/>
        <v>0</v>
      </c>
      <c r="AR13" s="17">
        <v>0.33</v>
      </c>
      <c r="AS13" s="17">
        <f t="shared" si="11"/>
        <v>0</v>
      </c>
      <c r="AT13" s="32">
        <v>800</v>
      </c>
      <c r="AU13" s="27">
        <f t="shared" si="14"/>
        <v>0</v>
      </c>
    </row>
    <row r="14" spans="2:48" x14ac:dyDescent="0.25">
      <c r="B14" s="28" t="s">
        <v>23</v>
      </c>
      <c r="C14" s="1">
        <v>600</v>
      </c>
      <c r="D14" s="8">
        <v>600</v>
      </c>
      <c r="E14" s="12">
        <f>F14/0.8</f>
        <v>600</v>
      </c>
      <c r="F14" s="19">
        <v>480</v>
      </c>
      <c r="G14" s="14">
        <f t="shared" si="22"/>
        <v>1</v>
      </c>
      <c r="H14" s="17">
        <v>0.7</v>
      </c>
      <c r="I14" s="17">
        <f t="shared" si="1"/>
        <v>420</v>
      </c>
      <c r="K14" s="12">
        <f>L14/0.8</f>
        <v>0</v>
      </c>
      <c r="L14" s="19"/>
      <c r="M14" s="13">
        <f t="shared" si="12"/>
        <v>0</v>
      </c>
      <c r="N14" s="17">
        <v>0.7</v>
      </c>
      <c r="O14" s="17">
        <f t="shared" si="23"/>
        <v>0</v>
      </c>
      <c r="Q14" s="12">
        <f>R14/0.8</f>
        <v>600</v>
      </c>
      <c r="R14" s="19">
        <v>480</v>
      </c>
      <c r="S14" s="13">
        <f t="shared" si="3"/>
        <v>1</v>
      </c>
      <c r="T14" s="17">
        <v>0.7</v>
      </c>
      <c r="U14" s="17">
        <f t="shared" si="4"/>
        <v>420</v>
      </c>
      <c r="W14" s="12">
        <f>X14/0.8</f>
        <v>0</v>
      </c>
      <c r="X14" s="19"/>
      <c r="Y14" s="13">
        <f t="shared" si="5"/>
        <v>0</v>
      </c>
      <c r="Z14" s="17">
        <v>0.7</v>
      </c>
      <c r="AA14" s="17">
        <f t="shared" si="6"/>
        <v>0</v>
      </c>
      <c r="AC14" s="12">
        <f>AD14/0.8</f>
        <v>0</v>
      </c>
      <c r="AD14" s="19"/>
      <c r="AE14" s="13">
        <f t="shared" si="7"/>
        <v>0</v>
      </c>
      <c r="AF14" s="17">
        <v>0.7</v>
      </c>
      <c r="AG14" s="17">
        <f t="shared" si="8"/>
        <v>0</v>
      </c>
      <c r="AI14" s="12">
        <f>AJ14/0.8</f>
        <v>0</v>
      </c>
      <c r="AJ14" s="19"/>
      <c r="AK14" s="13">
        <f t="shared" si="9"/>
        <v>0</v>
      </c>
      <c r="AL14" s="17">
        <v>0.7</v>
      </c>
      <c r="AM14" s="17">
        <f t="shared" si="10"/>
        <v>0</v>
      </c>
      <c r="AO14" s="12">
        <f>AP14/0.8</f>
        <v>0</v>
      </c>
      <c r="AP14" s="19"/>
      <c r="AQ14" s="13">
        <f t="shared" si="13"/>
        <v>0</v>
      </c>
      <c r="AR14" s="17">
        <v>0.7</v>
      </c>
      <c r="AS14" s="17">
        <f t="shared" si="11"/>
        <v>0</v>
      </c>
      <c r="AT14" s="32">
        <v>960</v>
      </c>
      <c r="AU14" s="27">
        <f t="shared" si="14"/>
        <v>0</v>
      </c>
    </row>
    <row r="15" spans="2:48" x14ac:dyDescent="0.25">
      <c r="B15" s="28" t="s">
        <v>22</v>
      </c>
      <c r="C15" s="1">
        <v>600</v>
      </c>
      <c r="D15" s="8">
        <v>600</v>
      </c>
      <c r="E15" s="12">
        <f>F15/0.8</f>
        <v>750</v>
      </c>
      <c r="F15" s="19">
        <v>600</v>
      </c>
      <c r="G15" s="14">
        <f t="shared" si="22"/>
        <v>1.25</v>
      </c>
      <c r="H15" s="17">
        <v>0.7</v>
      </c>
      <c r="I15" s="17">
        <f t="shared" si="1"/>
        <v>525</v>
      </c>
      <c r="K15" s="12">
        <f>L15/0.8</f>
        <v>0</v>
      </c>
      <c r="L15" s="19"/>
      <c r="M15" s="13">
        <f t="shared" si="12"/>
        <v>0</v>
      </c>
      <c r="N15" s="17">
        <v>0.7</v>
      </c>
      <c r="O15" s="17">
        <f t="shared" si="23"/>
        <v>0</v>
      </c>
      <c r="Q15" s="12">
        <f>R15/0.8</f>
        <v>0</v>
      </c>
      <c r="R15" s="19"/>
      <c r="S15" s="13">
        <f t="shared" si="3"/>
        <v>0</v>
      </c>
      <c r="T15" s="17">
        <v>0.7</v>
      </c>
      <c r="U15" s="17">
        <f t="shared" si="4"/>
        <v>0</v>
      </c>
      <c r="W15" s="12">
        <f>X15/0.8</f>
        <v>0</v>
      </c>
      <c r="X15" s="19"/>
      <c r="Y15" s="13">
        <f t="shared" si="5"/>
        <v>0</v>
      </c>
      <c r="Z15" s="17">
        <v>0.7</v>
      </c>
      <c r="AA15" s="17">
        <f t="shared" si="6"/>
        <v>0</v>
      </c>
      <c r="AC15" s="12">
        <f>AD15/0.8</f>
        <v>0</v>
      </c>
      <c r="AD15" s="19"/>
      <c r="AE15" s="13">
        <f t="shared" si="7"/>
        <v>0</v>
      </c>
      <c r="AF15" s="17">
        <v>0.7</v>
      </c>
      <c r="AG15" s="17">
        <f t="shared" si="8"/>
        <v>0</v>
      </c>
      <c r="AI15" s="12">
        <f>AJ15/0.8</f>
        <v>0</v>
      </c>
      <c r="AJ15" s="19"/>
      <c r="AK15" s="13">
        <f t="shared" si="9"/>
        <v>0</v>
      </c>
      <c r="AL15" s="17">
        <v>0.7</v>
      </c>
      <c r="AM15" s="17">
        <f t="shared" si="10"/>
        <v>0</v>
      </c>
      <c r="AO15" s="12">
        <f>AP15/0.8</f>
        <v>0</v>
      </c>
      <c r="AP15" s="19"/>
      <c r="AQ15" s="13">
        <f t="shared" si="13"/>
        <v>0</v>
      </c>
      <c r="AR15" s="17">
        <v>0.7</v>
      </c>
      <c r="AS15" s="17">
        <f t="shared" si="11"/>
        <v>0</v>
      </c>
      <c r="AT15" s="32">
        <v>600</v>
      </c>
      <c r="AU15" s="27">
        <f t="shared" si="14"/>
        <v>0</v>
      </c>
    </row>
    <row r="16" spans="2:48" x14ac:dyDescent="0.25">
      <c r="B16" s="28" t="s">
        <v>21</v>
      </c>
      <c r="C16" s="1">
        <v>600</v>
      </c>
      <c r="D16" s="8">
        <v>600</v>
      </c>
      <c r="E16" s="12">
        <f>F16/0.8</f>
        <v>600</v>
      </c>
      <c r="F16" s="19">
        <v>480</v>
      </c>
      <c r="G16" s="14">
        <f t="shared" si="22"/>
        <v>1</v>
      </c>
      <c r="H16" s="17">
        <v>0.7</v>
      </c>
      <c r="I16" s="17">
        <f t="shared" si="1"/>
        <v>420</v>
      </c>
      <c r="K16" s="12">
        <f>L16/0.8</f>
        <v>0</v>
      </c>
      <c r="L16" s="19"/>
      <c r="M16" s="13">
        <f t="shared" si="12"/>
        <v>0</v>
      </c>
      <c r="N16" s="17">
        <v>0.7</v>
      </c>
      <c r="O16" s="17">
        <f t="shared" si="23"/>
        <v>0</v>
      </c>
      <c r="Q16" s="12">
        <f>R16/0.8</f>
        <v>600</v>
      </c>
      <c r="R16" s="19">
        <v>480</v>
      </c>
      <c r="S16" s="13">
        <f t="shared" si="3"/>
        <v>1</v>
      </c>
      <c r="T16" s="17">
        <v>0.7</v>
      </c>
      <c r="U16" s="17">
        <f t="shared" si="4"/>
        <v>420</v>
      </c>
      <c r="W16" s="12">
        <f>X16/0.8</f>
        <v>0</v>
      </c>
      <c r="X16" s="19"/>
      <c r="Y16" s="13">
        <f t="shared" si="5"/>
        <v>0</v>
      </c>
      <c r="Z16" s="17">
        <v>0.7</v>
      </c>
      <c r="AA16" s="17">
        <f t="shared" si="6"/>
        <v>0</v>
      </c>
      <c r="AC16" s="12">
        <f>AD16/0.8</f>
        <v>0</v>
      </c>
      <c r="AD16" s="19"/>
      <c r="AE16" s="13">
        <f t="shared" si="7"/>
        <v>0</v>
      </c>
      <c r="AF16" s="17">
        <v>0.7</v>
      </c>
      <c r="AG16" s="17">
        <f t="shared" si="8"/>
        <v>0</v>
      </c>
      <c r="AI16" s="12">
        <f>AJ16/0.8</f>
        <v>0</v>
      </c>
      <c r="AJ16" s="19"/>
      <c r="AK16" s="13">
        <f t="shared" si="9"/>
        <v>0</v>
      </c>
      <c r="AL16" s="17">
        <v>0.7</v>
      </c>
      <c r="AM16" s="17">
        <f t="shared" si="10"/>
        <v>0</v>
      </c>
      <c r="AO16" s="12">
        <f>AP16/0.8</f>
        <v>0</v>
      </c>
      <c r="AP16" s="19"/>
      <c r="AQ16" s="13">
        <f t="shared" si="13"/>
        <v>0</v>
      </c>
      <c r="AR16" s="17">
        <v>0.7</v>
      </c>
      <c r="AS16" s="17">
        <f t="shared" si="11"/>
        <v>0</v>
      </c>
      <c r="AT16" s="32">
        <v>960</v>
      </c>
      <c r="AU16" s="27">
        <f t="shared" si="14"/>
        <v>0</v>
      </c>
    </row>
    <row r="17" spans="2:47" x14ac:dyDescent="0.25">
      <c r="B17" s="28" t="s">
        <v>31</v>
      </c>
      <c r="C17" s="1">
        <v>1000</v>
      </c>
      <c r="D17" s="8">
        <v>640</v>
      </c>
      <c r="E17" s="12">
        <f>F17/0.3</f>
        <v>6400</v>
      </c>
      <c r="F17" s="19">
        <v>1920</v>
      </c>
      <c r="G17" s="14">
        <f>E17/D17</f>
        <v>10</v>
      </c>
      <c r="H17" s="17">
        <v>0.6</v>
      </c>
      <c r="I17" s="17">
        <f t="shared" si="1"/>
        <v>3840</v>
      </c>
      <c r="K17" s="12">
        <f>L17/0.3</f>
        <v>6400</v>
      </c>
      <c r="L17" s="19">
        <v>1920</v>
      </c>
      <c r="M17" s="13">
        <f>K17/D17</f>
        <v>10</v>
      </c>
      <c r="N17" s="17">
        <v>0.6</v>
      </c>
      <c r="O17" s="17">
        <f t="shared" si="23"/>
        <v>3840</v>
      </c>
      <c r="Q17" s="12">
        <f>R17/0.3</f>
        <v>6400</v>
      </c>
      <c r="R17" s="19">
        <v>1920</v>
      </c>
      <c r="S17" s="13">
        <f>Q17/D17</f>
        <v>10</v>
      </c>
      <c r="T17" s="17">
        <v>0.6</v>
      </c>
      <c r="U17" s="17">
        <f>Q17*T17</f>
        <v>3840</v>
      </c>
      <c r="W17" s="12">
        <f>X17/0.3</f>
        <v>6400</v>
      </c>
      <c r="X17" s="19">
        <v>1920</v>
      </c>
      <c r="Y17" s="13">
        <f>W17/D17</f>
        <v>10</v>
      </c>
      <c r="Z17" s="17">
        <v>0.6</v>
      </c>
      <c r="AA17" s="17">
        <f>W17*Z17</f>
        <v>3840</v>
      </c>
      <c r="AC17" s="12">
        <f>AD17/0.3</f>
        <v>6400</v>
      </c>
      <c r="AD17" s="19">
        <v>1920</v>
      </c>
      <c r="AE17" s="13">
        <f t="shared" ref="AE17" si="24">AC17/D17</f>
        <v>10</v>
      </c>
      <c r="AF17" s="17">
        <v>0.6</v>
      </c>
      <c r="AG17" s="17">
        <f>AC17*AF17</f>
        <v>3840</v>
      </c>
      <c r="AI17" s="12">
        <f>AJ17/0.3</f>
        <v>0</v>
      </c>
      <c r="AJ17" s="19"/>
      <c r="AK17" s="13">
        <f t="shared" si="9"/>
        <v>0</v>
      </c>
      <c r="AL17" s="17">
        <v>0.6</v>
      </c>
      <c r="AM17" s="17">
        <f>AI17*AL17</f>
        <v>0</v>
      </c>
      <c r="AO17" s="12">
        <f>AP17/0.3</f>
        <v>0</v>
      </c>
      <c r="AP17" s="19"/>
      <c r="AQ17" s="13">
        <f t="shared" si="13"/>
        <v>0</v>
      </c>
      <c r="AR17" s="17">
        <v>0.6</v>
      </c>
      <c r="AS17" s="17">
        <f>AO17*AR17</f>
        <v>0</v>
      </c>
      <c r="AT17" s="32">
        <v>9600</v>
      </c>
      <c r="AU17" s="27">
        <f>AT17-L17-F17-R17-X17-AD17-AJ17-AP17</f>
        <v>0</v>
      </c>
    </row>
    <row r="18" spans="2:47" x14ac:dyDescent="0.25">
      <c r="B18" s="28" t="s">
        <v>28</v>
      </c>
      <c r="C18" s="1">
        <v>1000</v>
      </c>
      <c r="D18" s="8">
        <v>640</v>
      </c>
      <c r="E18" s="12">
        <f>F18/0.3</f>
        <v>8320</v>
      </c>
      <c r="F18" s="19">
        <v>2496</v>
      </c>
      <c r="G18" s="14">
        <f t="shared" si="22"/>
        <v>13</v>
      </c>
      <c r="H18" s="17">
        <v>0.66</v>
      </c>
      <c r="I18" s="17">
        <f t="shared" si="1"/>
        <v>5491.2</v>
      </c>
      <c r="K18" s="12">
        <f>L18/0.3</f>
        <v>8960</v>
      </c>
      <c r="L18" s="19">
        <v>2688</v>
      </c>
      <c r="M18" s="13">
        <f>K18/D18</f>
        <v>14</v>
      </c>
      <c r="N18" s="17">
        <v>0.66</v>
      </c>
      <c r="O18" s="17">
        <f t="shared" si="2"/>
        <v>5913.6</v>
      </c>
      <c r="Q18" s="12">
        <f>R18/0.3</f>
        <v>9600</v>
      </c>
      <c r="R18" s="19">
        <v>2880</v>
      </c>
      <c r="S18" s="13">
        <f t="shared" si="3"/>
        <v>15</v>
      </c>
      <c r="T18" s="17">
        <v>0.66</v>
      </c>
      <c r="U18" s="17">
        <f>Q18*T18</f>
        <v>6336</v>
      </c>
      <c r="W18" s="12">
        <f>X18/0.3</f>
        <v>8320</v>
      </c>
      <c r="X18" s="19">
        <v>2496</v>
      </c>
      <c r="Y18" s="13">
        <f t="shared" si="5"/>
        <v>13</v>
      </c>
      <c r="Z18" s="17">
        <v>0.66</v>
      </c>
      <c r="AA18" s="17">
        <f>W18*Z18</f>
        <v>5491.2</v>
      </c>
      <c r="AC18" s="12">
        <f>AD18/0.3</f>
        <v>8320</v>
      </c>
      <c r="AD18" s="19">
        <v>2496</v>
      </c>
      <c r="AE18" s="13">
        <f t="shared" si="7"/>
        <v>13</v>
      </c>
      <c r="AF18" s="17">
        <v>0.66</v>
      </c>
      <c r="AG18" s="17">
        <f>AC18*AF18</f>
        <v>5491.2</v>
      </c>
      <c r="AI18" s="12">
        <f>AJ18/0.3</f>
        <v>0</v>
      </c>
      <c r="AJ18" s="19"/>
      <c r="AK18" s="13">
        <f t="shared" si="9"/>
        <v>0</v>
      </c>
      <c r="AL18" s="17">
        <v>0.66</v>
      </c>
      <c r="AM18" s="17">
        <f>AI18*AL18</f>
        <v>0</v>
      </c>
      <c r="AO18" s="12">
        <f>AP18/0.3</f>
        <v>0</v>
      </c>
      <c r="AP18" s="19"/>
      <c r="AQ18" s="13">
        <f t="shared" si="13"/>
        <v>0</v>
      </c>
      <c r="AR18" s="17">
        <v>0.66</v>
      </c>
      <c r="AS18" s="17">
        <f>AO18*AR18</f>
        <v>0</v>
      </c>
      <c r="AT18" s="32">
        <v>13056</v>
      </c>
      <c r="AU18" s="27">
        <f t="shared" si="14"/>
        <v>0</v>
      </c>
    </row>
    <row r="19" spans="2:47" hidden="1" x14ac:dyDescent="0.25">
      <c r="B19" s="26" t="s">
        <v>17</v>
      </c>
      <c r="C19" s="1">
        <v>2400</v>
      </c>
      <c r="D19" s="8">
        <v>600</v>
      </c>
      <c r="E19" s="12">
        <f>F19/0.9</f>
        <v>0</v>
      </c>
      <c r="F19" s="19"/>
      <c r="G19" s="14">
        <f t="shared" si="22"/>
        <v>0</v>
      </c>
      <c r="H19" s="17">
        <v>0.44</v>
      </c>
      <c r="I19" s="17">
        <f t="shared" si="1"/>
        <v>0</v>
      </c>
      <c r="K19" s="12">
        <f>L19/0.9</f>
        <v>0</v>
      </c>
      <c r="L19" s="19"/>
      <c r="M19" s="13">
        <f t="shared" si="12"/>
        <v>0</v>
      </c>
      <c r="N19" s="17">
        <v>0.44</v>
      </c>
      <c r="O19" s="17">
        <f t="shared" si="2"/>
        <v>0</v>
      </c>
      <c r="Q19" s="12">
        <f>R19/0.9</f>
        <v>0</v>
      </c>
      <c r="R19" s="19"/>
      <c r="S19" s="13">
        <f t="shared" si="3"/>
        <v>0</v>
      </c>
      <c r="T19" s="17">
        <v>0.44</v>
      </c>
      <c r="U19" s="17">
        <f t="shared" ref="U19:U32" si="25">Q19*T19</f>
        <v>0</v>
      </c>
      <c r="W19" s="12">
        <f>X19/0.9</f>
        <v>0</v>
      </c>
      <c r="X19" s="19"/>
      <c r="Y19" s="13">
        <f t="shared" si="5"/>
        <v>0</v>
      </c>
      <c r="Z19" s="17">
        <v>0.44</v>
      </c>
      <c r="AA19" s="17">
        <f t="shared" ref="AA19:AA32" si="26">W19*Z19</f>
        <v>0</v>
      </c>
      <c r="AC19" s="12">
        <f>AD19/0.9</f>
        <v>0</v>
      </c>
      <c r="AD19" s="19"/>
      <c r="AE19" s="13">
        <f t="shared" si="7"/>
        <v>0</v>
      </c>
      <c r="AF19" s="17">
        <v>0.44</v>
      </c>
      <c r="AG19" s="17">
        <f t="shared" ref="AG19:AG32" si="27">AC19*AF19</f>
        <v>0</v>
      </c>
      <c r="AI19" s="12">
        <f>AJ19/0.9</f>
        <v>0</v>
      </c>
      <c r="AJ19" s="19"/>
      <c r="AK19" s="13">
        <f t="shared" si="9"/>
        <v>0</v>
      </c>
      <c r="AL19" s="17">
        <v>0.44</v>
      </c>
      <c r="AM19" s="17">
        <f t="shared" ref="AM19:AM32" si="28">AI19*AL19</f>
        <v>0</v>
      </c>
      <c r="AO19" s="12">
        <f>AP19/0.9</f>
        <v>0</v>
      </c>
      <c r="AP19" s="19"/>
      <c r="AQ19" s="13">
        <f t="shared" si="13"/>
        <v>0</v>
      </c>
      <c r="AR19" s="17">
        <v>0.44</v>
      </c>
      <c r="AS19" s="17">
        <f t="shared" ref="AS19:AS21" si="29">AO19*AR19</f>
        <v>0</v>
      </c>
      <c r="AT19" s="32"/>
      <c r="AU19" s="27">
        <f t="shared" si="14"/>
        <v>0</v>
      </c>
    </row>
    <row r="20" spans="2:47" x14ac:dyDescent="0.25">
      <c r="B20" s="25" t="s">
        <v>15</v>
      </c>
      <c r="C20" s="1">
        <v>2400</v>
      </c>
      <c r="D20" s="8">
        <v>600</v>
      </c>
      <c r="E20" s="12">
        <f>F20/0.9</f>
        <v>3000</v>
      </c>
      <c r="F20" s="19">
        <v>2700</v>
      </c>
      <c r="G20" s="14">
        <f t="shared" si="0"/>
        <v>5</v>
      </c>
      <c r="H20" s="17">
        <v>0.48</v>
      </c>
      <c r="I20" s="17">
        <f t="shared" si="1"/>
        <v>1440</v>
      </c>
      <c r="K20" s="12">
        <f>L20/0.9</f>
        <v>9000</v>
      </c>
      <c r="L20" s="19">
        <v>8100</v>
      </c>
      <c r="M20" s="13">
        <f t="shared" si="12"/>
        <v>15</v>
      </c>
      <c r="N20" s="17">
        <v>0.48</v>
      </c>
      <c r="O20" s="17">
        <f t="shared" si="2"/>
        <v>4320</v>
      </c>
      <c r="Q20" s="12">
        <f>R20/0.9</f>
        <v>0</v>
      </c>
      <c r="R20" s="19"/>
      <c r="S20" s="13">
        <f t="shared" si="3"/>
        <v>0</v>
      </c>
      <c r="T20" s="17">
        <v>0.48</v>
      </c>
      <c r="U20" s="17">
        <f t="shared" si="25"/>
        <v>0</v>
      </c>
      <c r="W20" s="12">
        <f>X20/0.9</f>
        <v>0</v>
      </c>
      <c r="X20" s="19"/>
      <c r="Y20" s="13">
        <f t="shared" si="5"/>
        <v>0</v>
      </c>
      <c r="Z20" s="17">
        <v>0.48</v>
      </c>
      <c r="AA20" s="17">
        <f t="shared" si="26"/>
        <v>0</v>
      </c>
      <c r="AC20" s="12">
        <f>AD20/0.9</f>
        <v>0</v>
      </c>
      <c r="AD20" s="19"/>
      <c r="AE20" s="13">
        <f t="shared" si="7"/>
        <v>0</v>
      </c>
      <c r="AF20" s="17">
        <v>0.48</v>
      </c>
      <c r="AG20" s="17">
        <f t="shared" si="27"/>
        <v>0</v>
      </c>
      <c r="AI20" s="12">
        <f>AJ20/0.9</f>
        <v>0</v>
      </c>
      <c r="AJ20" s="19"/>
      <c r="AK20" s="13">
        <f t="shared" si="9"/>
        <v>0</v>
      </c>
      <c r="AL20" s="17">
        <v>0.48</v>
      </c>
      <c r="AM20" s="17">
        <f t="shared" si="28"/>
        <v>0</v>
      </c>
      <c r="AO20" s="12">
        <f>AP20/0.9</f>
        <v>0</v>
      </c>
      <c r="AP20" s="19"/>
      <c r="AQ20" s="13">
        <f t="shared" si="13"/>
        <v>0</v>
      </c>
      <c r="AR20" s="17">
        <v>0.48</v>
      </c>
      <c r="AS20" s="17">
        <f t="shared" si="29"/>
        <v>0</v>
      </c>
      <c r="AT20" s="32">
        <v>10800</v>
      </c>
      <c r="AU20" s="27">
        <f t="shared" si="14"/>
        <v>0</v>
      </c>
    </row>
    <row r="21" spans="2:47" x14ac:dyDescent="0.25">
      <c r="B21" s="25" t="s">
        <v>16</v>
      </c>
      <c r="C21" s="1">
        <v>2400</v>
      </c>
      <c r="D21" s="8">
        <v>600</v>
      </c>
      <c r="E21" s="12">
        <f>F21/0.9</f>
        <v>6000</v>
      </c>
      <c r="F21" s="19">
        <v>5400</v>
      </c>
      <c r="G21" s="14">
        <f t="shared" si="0"/>
        <v>10</v>
      </c>
      <c r="H21" s="17">
        <v>0.54</v>
      </c>
      <c r="I21" s="17">
        <f t="shared" si="1"/>
        <v>3240</v>
      </c>
      <c r="K21" s="12">
        <f>L21/0.9</f>
        <v>0</v>
      </c>
      <c r="L21" s="19"/>
      <c r="M21" s="13">
        <f t="shared" si="12"/>
        <v>0</v>
      </c>
      <c r="N21" s="17">
        <v>0.54</v>
      </c>
      <c r="O21" s="17">
        <f t="shared" si="2"/>
        <v>0</v>
      </c>
      <c r="Q21" s="12">
        <f>R21/0.9</f>
        <v>0</v>
      </c>
      <c r="R21" s="19"/>
      <c r="S21" s="13">
        <f t="shared" si="3"/>
        <v>0</v>
      </c>
      <c r="T21" s="17">
        <v>0.54</v>
      </c>
      <c r="U21" s="17">
        <f t="shared" si="25"/>
        <v>0</v>
      </c>
      <c r="W21" s="12">
        <f>X21/0.9</f>
        <v>0</v>
      </c>
      <c r="X21" s="19"/>
      <c r="Y21" s="13">
        <f t="shared" si="5"/>
        <v>0</v>
      </c>
      <c r="Z21" s="17">
        <v>0.54</v>
      </c>
      <c r="AA21" s="17">
        <f t="shared" si="26"/>
        <v>0</v>
      </c>
      <c r="AC21" s="12"/>
      <c r="AD21" s="19"/>
      <c r="AE21" s="13">
        <f t="shared" si="7"/>
        <v>0</v>
      </c>
      <c r="AF21" s="17">
        <v>0.54</v>
      </c>
      <c r="AG21" s="17">
        <f t="shared" si="27"/>
        <v>0</v>
      </c>
      <c r="AI21" s="12">
        <f>AJ21/0.9</f>
        <v>0</v>
      </c>
      <c r="AJ21" s="19"/>
      <c r="AK21" s="13">
        <f t="shared" si="9"/>
        <v>0</v>
      </c>
      <c r="AL21" s="17">
        <v>0.54</v>
      </c>
      <c r="AM21" s="17">
        <f t="shared" si="28"/>
        <v>0</v>
      </c>
      <c r="AO21" s="12">
        <f>AP21/0.9</f>
        <v>0</v>
      </c>
      <c r="AP21" s="19"/>
      <c r="AQ21" s="13">
        <f t="shared" si="13"/>
        <v>0</v>
      </c>
      <c r="AR21" s="17">
        <v>0.54</v>
      </c>
      <c r="AS21" s="17">
        <f t="shared" si="29"/>
        <v>0</v>
      </c>
      <c r="AT21" s="32">
        <v>5400</v>
      </c>
      <c r="AU21" s="27">
        <f t="shared" si="14"/>
        <v>0</v>
      </c>
    </row>
    <row r="22" spans="2:47" hidden="1" x14ac:dyDescent="0.25">
      <c r="B22" s="25" t="s">
        <v>24</v>
      </c>
      <c r="C22" s="1">
        <v>2880</v>
      </c>
      <c r="D22" s="8">
        <v>720</v>
      </c>
      <c r="E22" s="12">
        <f>F22/0.95</f>
        <v>0</v>
      </c>
      <c r="F22" s="19"/>
      <c r="G22" s="14">
        <f t="shared" ref="G22:G23" si="30">E22/D22</f>
        <v>0</v>
      </c>
      <c r="H22" s="17">
        <v>0.62</v>
      </c>
      <c r="I22" s="17">
        <f t="shared" ref="I22:I23" si="31">E22*H22</f>
        <v>0</v>
      </c>
      <c r="K22" s="12">
        <f>L22/0.95</f>
        <v>0</v>
      </c>
      <c r="L22" s="19"/>
      <c r="M22" s="13">
        <f t="shared" ref="M22:M23" si="32">K22/D22</f>
        <v>0</v>
      </c>
      <c r="N22" s="17">
        <v>0.62</v>
      </c>
      <c r="O22" s="17">
        <f t="shared" ref="O22:O23" si="33">K22*N22</f>
        <v>0</v>
      </c>
      <c r="Q22" s="12">
        <f>R22/0.95</f>
        <v>0</v>
      </c>
      <c r="R22" s="19"/>
      <c r="S22" s="13">
        <f>Q22/D22</f>
        <v>0</v>
      </c>
      <c r="T22" s="17">
        <v>0.62</v>
      </c>
      <c r="U22" s="17">
        <f>Q22*T22</f>
        <v>0</v>
      </c>
      <c r="W22" s="12">
        <f>X22/0.95</f>
        <v>0</v>
      </c>
      <c r="X22" s="19"/>
      <c r="Y22" s="13">
        <f>W22/D22</f>
        <v>0</v>
      </c>
      <c r="Z22" s="17">
        <v>0.62</v>
      </c>
      <c r="AA22" s="17">
        <f>W22*Z22</f>
        <v>0</v>
      </c>
      <c r="AC22" s="12">
        <f>AD22/0.95</f>
        <v>0</v>
      </c>
      <c r="AD22" s="19"/>
      <c r="AE22" s="13">
        <f>AC22/D22</f>
        <v>0</v>
      </c>
      <c r="AF22" s="17">
        <v>0.62</v>
      </c>
      <c r="AG22" s="17">
        <f>AC22*AF22</f>
        <v>0</v>
      </c>
      <c r="AI22" s="12">
        <f>AJ22/0.95</f>
        <v>0</v>
      </c>
      <c r="AJ22" s="19"/>
      <c r="AK22" s="13">
        <f>AI22/D22</f>
        <v>0</v>
      </c>
      <c r="AL22" s="17">
        <v>0.62</v>
      </c>
      <c r="AM22" s="17">
        <f>AI22*AL22</f>
        <v>0</v>
      </c>
      <c r="AO22" s="12">
        <f>AP22/0.95</f>
        <v>0</v>
      </c>
      <c r="AP22" s="19"/>
      <c r="AQ22" s="13">
        <f t="shared" si="13"/>
        <v>0</v>
      </c>
      <c r="AR22" s="17">
        <v>0.62</v>
      </c>
      <c r="AS22" s="17">
        <f>AO22*AR22</f>
        <v>0</v>
      </c>
      <c r="AT22" s="32"/>
      <c r="AU22" s="27">
        <f t="shared" si="14"/>
        <v>0</v>
      </c>
    </row>
    <row r="23" spans="2:47" x14ac:dyDescent="0.25">
      <c r="B23" s="25" t="s">
        <v>25</v>
      </c>
      <c r="C23" s="1">
        <v>2880</v>
      </c>
      <c r="D23" s="8">
        <v>720</v>
      </c>
      <c r="E23" s="12">
        <f>F23/0.95</f>
        <v>0</v>
      </c>
      <c r="F23" s="19"/>
      <c r="G23" s="14">
        <f t="shared" si="30"/>
        <v>0</v>
      </c>
      <c r="H23" s="17">
        <v>0.66</v>
      </c>
      <c r="I23" s="17">
        <f t="shared" si="31"/>
        <v>0</v>
      </c>
      <c r="K23" s="12">
        <f>L23/0.95</f>
        <v>0</v>
      </c>
      <c r="L23" s="19"/>
      <c r="M23" s="13">
        <f t="shared" si="32"/>
        <v>0</v>
      </c>
      <c r="N23" s="17">
        <v>0.66</v>
      </c>
      <c r="O23" s="17">
        <f t="shared" si="33"/>
        <v>0</v>
      </c>
      <c r="Q23" s="12">
        <f>R23/0.95</f>
        <v>0</v>
      </c>
      <c r="R23" s="19"/>
      <c r="S23" s="13">
        <f>Q23/D23</f>
        <v>0</v>
      </c>
      <c r="T23" s="17">
        <v>0.66</v>
      </c>
      <c r="U23" s="17">
        <f>Q23*T23</f>
        <v>0</v>
      </c>
      <c r="W23" s="12">
        <f>X23/0.95</f>
        <v>8640</v>
      </c>
      <c r="X23" s="19">
        <v>8208</v>
      </c>
      <c r="Y23" s="13">
        <f>W23/D23</f>
        <v>12</v>
      </c>
      <c r="Z23" s="17">
        <v>0.66</v>
      </c>
      <c r="AA23" s="17">
        <f>W23*Z23</f>
        <v>5702.4000000000005</v>
      </c>
      <c r="AC23" s="12">
        <f>AD23/0.95</f>
        <v>1440</v>
      </c>
      <c r="AD23" s="19">
        <v>1368</v>
      </c>
      <c r="AE23" s="13">
        <f>AC23/D23</f>
        <v>2</v>
      </c>
      <c r="AF23" s="17">
        <v>0.66</v>
      </c>
      <c r="AG23" s="17">
        <f>AC23*AF23</f>
        <v>950.40000000000009</v>
      </c>
      <c r="AI23" s="12">
        <f>AJ23/0.95</f>
        <v>0</v>
      </c>
      <c r="AJ23" s="19"/>
      <c r="AK23" s="13">
        <f>AI23/D23</f>
        <v>0</v>
      </c>
      <c r="AL23" s="17">
        <v>0.66</v>
      </c>
      <c r="AM23" s="17">
        <f>AI23*AL23</f>
        <v>0</v>
      </c>
      <c r="AO23" s="12">
        <f>AP23/0.95</f>
        <v>0</v>
      </c>
      <c r="AP23" s="19"/>
      <c r="AQ23" s="13">
        <f t="shared" si="13"/>
        <v>0</v>
      </c>
      <c r="AR23" s="17">
        <v>0.66</v>
      </c>
      <c r="AS23" s="17">
        <f>AO23*AR23</f>
        <v>0</v>
      </c>
      <c r="AT23" s="32">
        <v>9576</v>
      </c>
      <c r="AU23" s="27">
        <f t="shared" si="14"/>
        <v>0</v>
      </c>
    </row>
    <row r="24" spans="2:47" x14ac:dyDescent="0.25">
      <c r="B24" s="25" t="s">
        <v>20</v>
      </c>
      <c r="C24" s="1">
        <f>1260*3</f>
        <v>3780</v>
      </c>
      <c r="D24" s="8">
        <v>1260</v>
      </c>
      <c r="E24" s="12">
        <f>F24/0.5</f>
        <v>0</v>
      </c>
      <c r="F24" s="19"/>
      <c r="G24" s="14">
        <f t="shared" si="0"/>
        <v>0</v>
      </c>
      <c r="H24" s="17">
        <v>0.77</v>
      </c>
      <c r="I24" s="17">
        <f t="shared" si="1"/>
        <v>0</v>
      </c>
      <c r="K24" s="12">
        <f>L24/0.5</f>
        <v>0</v>
      </c>
      <c r="L24" s="19"/>
      <c r="M24" s="13">
        <f t="shared" si="12"/>
        <v>0</v>
      </c>
      <c r="N24" s="17">
        <v>0.77</v>
      </c>
      <c r="O24" s="17">
        <f t="shared" si="2"/>
        <v>0</v>
      </c>
      <c r="Q24" s="12">
        <f>R24/0.5</f>
        <v>0</v>
      </c>
      <c r="R24" s="19"/>
      <c r="S24" s="13">
        <f t="shared" si="3"/>
        <v>0</v>
      </c>
      <c r="T24" s="17">
        <v>0.77</v>
      </c>
      <c r="U24" s="17">
        <f t="shared" si="25"/>
        <v>0</v>
      </c>
      <c r="W24" s="12">
        <f>X24/0.5</f>
        <v>0</v>
      </c>
      <c r="X24" s="19"/>
      <c r="Y24" s="13">
        <f>W24/D24</f>
        <v>0</v>
      </c>
      <c r="Z24" s="17">
        <v>0.77</v>
      </c>
      <c r="AA24" s="17">
        <f t="shared" si="26"/>
        <v>0</v>
      </c>
      <c r="AC24" s="12">
        <f>AD24/0.5</f>
        <v>7560</v>
      </c>
      <c r="AD24" s="19">
        <v>3780</v>
      </c>
      <c r="AE24" s="13">
        <f t="shared" si="7"/>
        <v>6</v>
      </c>
      <c r="AF24" s="17">
        <v>0.77</v>
      </c>
      <c r="AG24" s="17">
        <f t="shared" si="27"/>
        <v>5821.2</v>
      </c>
      <c r="AI24" s="12">
        <f>AJ24/0.5</f>
        <v>0</v>
      </c>
      <c r="AJ24" s="19"/>
      <c r="AK24" s="13">
        <f t="shared" si="9"/>
        <v>0</v>
      </c>
      <c r="AL24" s="17">
        <v>0.77</v>
      </c>
      <c r="AM24" s="17">
        <f t="shared" si="28"/>
        <v>0</v>
      </c>
      <c r="AO24" s="12">
        <f>AP24/0.5</f>
        <v>0</v>
      </c>
      <c r="AP24" s="19"/>
      <c r="AQ24" s="13">
        <f t="shared" si="13"/>
        <v>0</v>
      </c>
      <c r="AR24" s="17">
        <v>0.77</v>
      </c>
      <c r="AS24" s="17">
        <f t="shared" ref="AS24:AS27" si="34">AO24*AR24</f>
        <v>0</v>
      </c>
      <c r="AT24" s="32">
        <v>3780</v>
      </c>
      <c r="AU24" s="27">
        <f t="shared" si="14"/>
        <v>0</v>
      </c>
    </row>
    <row r="25" spans="2:47" x14ac:dyDescent="0.25">
      <c r="B25" s="25" t="s">
        <v>19</v>
      </c>
      <c r="C25" s="1">
        <f>1260*3</f>
        <v>3780</v>
      </c>
      <c r="D25" s="8">
        <v>1260</v>
      </c>
      <c r="E25" s="12">
        <f>F25/0.5</f>
        <v>0</v>
      </c>
      <c r="F25" s="19"/>
      <c r="G25" s="14">
        <f t="shared" si="0"/>
        <v>0</v>
      </c>
      <c r="H25" s="17">
        <v>0.88</v>
      </c>
      <c r="I25" s="17">
        <f t="shared" si="1"/>
        <v>0</v>
      </c>
      <c r="K25" s="12">
        <f>L25/0.5</f>
        <v>0</v>
      </c>
      <c r="L25" s="19"/>
      <c r="M25" s="13">
        <f t="shared" si="12"/>
        <v>0</v>
      </c>
      <c r="N25" s="17">
        <v>0.88</v>
      </c>
      <c r="O25" s="17">
        <f>K25*N25</f>
        <v>0</v>
      </c>
      <c r="Q25" s="12">
        <f>R25/0.5</f>
        <v>10080</v>
      </c>
      <c r="R25" s="19">
        <v>5040</v>
      </c>
      <c r="S25" s="13">
        <f t="shared" si="3"/>
        <v>8</v>
      </c>
      <c r="T25" s="17">
        <v>0.88</v>
      </c>
      <c r="U25" s="17">
        <f t="shared" si="25"/>
        <v>8870.4</v>
      </c>
      <c r="W25" s="12">
        <f>X25/0.5</f>
        <v>0</v>
      </c>
      <c r="X25" s="19"/>
      <c r="Y25" s="13">
        <f t="shared" si="5"/>
        <v>0</v>
      </c>
      <c r="Z25" s="17">
        <v>0.88</v>
      </c>
      <c r="AA25" s="17">
        <f t="shared" si="26"/>
        <v>0</v>
      </c>
      <c r="AC25" s="12">
        <f>AD25/0.5</f>
        <v>0</v>
      </c>
      <c r="AD25" s="19"/>
      <c r="AE25" s="13">
        <f t="shared" si="7"/>
        <v>0</v>
      </c>
      <c r="AF25" s="17">
        <v>0.88</v>
      </c>
      <c r="AG25" s="17">
        <f t="shared" si="27"/>
        <v>0</v>
      </c>
      <c r="AI25" s="12">
        <f>AJ25/0.5</f>
        <v>0</v>
      </c>
      <c r="AJ25" s="19"/>
      <c r="AK25" s="13">
        <f t="shared" si="9"/>
        <v>0</v>
      </c>
      <c r="AL25" s="17">
        <v>0.88</v>
      </c>
      <c r="AM25" s="17">
        <f t="shared" si="28"/>
        <v>0</v>
      </c>
      <c r="AO25" s="12">
        <f>AP25/0.5</f>
        <v>0</v>
      </c>
      <c r="AP25" s="19"/>
      <c r="AQ25" s="13">
        <f t="shared" si="13"/>
        <v>0</v>
      </c>
      <c r="AR25" s="17">
        <v>0.88</v>
      </c>
      <c r="AS25" s="17">
        <f t="shared" si="34"/>
        <v>0</v>
      </c>
      <c r="AT25" s="32">
        <v>5040</v>
      </c>
      <c r="AU25" s="27">
        <f t="shared" si="14"/>
        <v>0</v>
      </c>
    </row>
    <row r="26" spans="2:47" x14ac:dyDescent="0.25">
      <c r="B26" s="25" t="s">
        <v>26</v>
      </c>
      <c r="C26" s="1">
        <f>1260*3</f>
        <v>3780</v>
      </c>
      <c r="D26" s="8">
        <v>1260</v>
      </c>
      <c r="E26" s="12">
        <f>F26/0.5</f>
        <v>0</v>
      </c>
      <c r="F26" s="19"/>
      <c r="G26" s="14">
        <f t="shared" si="0"/>
        <v>0</v>
      </c>
      <c r="H26" s="17">
        <v>1.62</v>
      </c>
      <c r="I26" s="17">
        <f t="shared" si="1"/>
        <v>0</v>
      </c>
      <c r="K26" s="12">
        <f>L26/0.5</f>
        <v>0</v>
      </c>
      <c r="L26" s="19"/>
      <c r="M26" s="13">
        <f t="shared" si="12"/>
        <v>0</v>
      </c>
      <c r="N26" s="17">
        <v>1.62</v>
      </c>
      <c r="O26" s="17">
        <f t="shared" si="2"/>
        <v>0</v>
      </c>
      <c r="Q26" s="12">
        <f>R26/0.5</f>
        <v>0</v>
      </c>
      <c r="R26" s="19"/>
      <c r="S26" s="13">
        <f t="shared" si="3"/>
        <v>0</v>
      </c>
      <c r="T26" s="17">
        <v>1.62</v>
      </c>
      <c r="U26" s="17">
        <f t="shared" si="25"/>
        <v>0</v>
      </c>
      <c r="W26" s="12">
        <f>X26/0.5</f>
        <v>0</v>
      </c>
      <c r="X26" s="19"/>
      <c r="Y26" s="13">
        <f t="shared" si="5"/>
        <v>0</v>
      </c>
      <c r="Z26" s="17">
        <v>1.62</v>
      </c>
      <c r="AA26" s="17">
        <f t="shared" si="26"/>
        <v>0</v>
      </c>
      <c r="AC26" s="12">
        <f>AD26/0.5</f>
        <v>10080</v>
      </c>
      <c r="AD26" s="19">
        <v>5040</v>
      </c>
      <c r="AE26" s="13">
        <f t="shared" si="7"/>
        <v>8</v>
      </c>
      <c r="AF26" s="17">
        <v>1.62</v>
      </c>
      <c r="AG26" s="17">
        <f t="shared" si="27"/>
        <v>16329.6</v>
      </c>
      <c r="AI26" s="12">
        <f>AJ26/0.5</f>
        <v>0</v>
      </c>
      <c r="AJ26" s="19"/>
      <c r="AK26" s="13">
        <f t="shared" si="9"/>
        <v>0</v>
      </c>
      <c r="AL26" s="17">
        <v>1.62</v>
      </c>
      <c r="AM26" s="17">
        <f t="shared" si="28"/>
        <v>0</v>
      </c>
      <c r="AO26" s="12">
        <f>AP26/0.5</f>
        <v>0</v>
      </c>
      <c r="AP26" s="19"/>
      <c r="AQ26" s="13">
        <f t="shared" si="13"/>
        <v>0</v>
      </c>
      <c r="AR26" s="17">
        <v>1.62</v>
      </c>
      <c r="AS26" s="17">
        <f t="shared" si="34"/>
        <v>0</v>
      </c>
      <c r="AT26" s="32">
        <v>5040</v>
      </c>
      <c r="AU26" s="27">
        <f t="shared" si="14"/>
        <v>0</v>
      </c>
    </row>
    <row r="27" spans="2:47" hidden="1" x14ac:dyDescent="0.25">
      <c r="B27" s="35" t="s">
        <v>18</v>
      </c>
      <c r="C27" s="1">
        <v>600</v>
      </c>
      <c r="D27" s="8">
        <v>600</v>
      </c>
      <c r="E27" s="12">
        <f>F27/0.28</f>
        <v>0</v>
      </c>
      <c r="F27" s="19"/>
      <c r="G27" s="14">
        <f>E27/D27</f>
        <v>0</v>
      </c>
      <c r="H27" s="17"/>
      <c r="I27" s="17">
        <f t="shared" si="1"/>
        <v>0</v>
      </c>
      <c r="K27" s="12">
        <f>L27/0.28</f>
        <v>0</v>
      </c>
      <c r="L27" s="19"/>
      <c r="M27" s="13">
        <f t="shared" si="12"/>
        <v>0</v>
      </c>
      <c r="N27" s="17"/>
      <c r="O27" s="17">
        <f t="shared" si="2"/>
        <v>0</v>
      </c>
      <c r="Q27" s="12">
        <f>R27/0.28</f>
        <v>0</v>
      </c>
      <c r="R27" s="19"/>
      <c r="S27" s="13">
        <f t="shared" si="3"/>
        <v>0</v>
      </c>
      <c r="T27" s="17"/>
      <c r="U27" s="17">
        <f t="shared" si="25"/>
        <v>0</v>
      </c>
      <c r="W27" s="12">
        <f>X27/0.28</f>
        <v>0</v>
      </c>
      <c r="X27" s="19"/>
      <c r="Y27" s="13">
        <f>W27/D27</f>
        <v>0</v>
      </c>
      <c r="Z27" s="17"/>
      <c r="AA27" s="17">
        <f t="shared" si="26"/>
        <v>0</v>
      </c>
      <c r="AC27" s="12">
        <f>AD27/0.28</f>
        <v>0</v>
      </c>
      <c r="AD27" s="19"/>
      <c r="AE27" s="13">
        <f t="shared" si="7"/>
        <v>0</v>
      </c>
      <c r="AF27" s="17"/>
      <c r="AG27" s="17">
        <f t="shared" si="27"/>
        <v>0</v>
      </c>
      <c r="AI27" s="12">
        <f>AJ27/0.28</f>
        <v>0</v>
      </c>
      <c r="AJ27" s="19"/>
      <c r="AK27" s="13">
        <f t="shared" si="9"/>
        <v>0</v>
      </c>
      <c r="AL27" s="17"/>
      <c r="AM27" s="17">
        <f t="shared" si="28"/>
        <v>0</v>
      </c>
      <c r="AO27" s="12">
        <f>AP27/0.28</f>
        <v>0</v>
      </c>
      <c r="AP27" s="19"/>
      <c r="AQ27" s="13">
        <f t="shared" si="13"/>
        <v>0</v>
      </c>
      <c r="AR27" s="17"/>
      <c r="AS27" s="17">
        <f t="shared" si="34"/>
        <v>0</v>
      </c>
      <c r="AT27" s="32"/>
      <c r="AU27" s="27">
        <f t="shared" si="14"/>
        <v>0</v>
      </c>
    </row>
    <row r="28" spans="2:47" hidden="1" x14ac:dyDescent="0.25">
      <c r="B28" s="36" t="s">
        <v>34</v>
      </c>
      <c r="C28" s="1">
        <v>200</v>
      </c>
      <c r="D28" s="8">
        <v>200</v>
      </c>
      <c r="E28" s="12">
        <f>F28/5</f>
        <v>0</v>
      </c>
      <c r="F28" s="19"/>
      <c r="G28" s="14">
        <f t="shared" ref="G28:G31" si="35">E28/D28</f>
        <v>0</v>
      </c>
      <c r="H28" s="17"/>
      <c r="I28" s="17"/>
      <c r="K28" s="12">
        <f>L28/5</f>
        <v>0</v>
      </c>
      <c r="L28" s="19"/>
      <c r="M28" s="13">
        <f t="shared" si="12"/>
        <v>0</v>
      </c>
      <c r="N28" s="17"/>
      <c r="O28" s="17"/>
      <c r="Q28" s="12">
        <f>R28/5</f>
        <v>0</v>
      </c>
      <c r="R28" s="19"/>
      <c r="S28" s="13">
        <f>Q28/D28</f>
        <v>0</v>
      </c>
      <c r="T28" s="17"/>
      <c r="U28" s="17"/>
      <c r="W28" s="12">
        <f>X28/5</f>
        <v>0</v>
      </c>
      <c r="X28" s="19"/>
      <c r="Y28" s="13">
        <f>W28/D28</f>
        <v>0</v>
      </c>
      <c r="Z28" s="17"/>
      <c r="AA28" s="17"/>
      <c r="AC28" s="12">
        <f>AD28/5</f>
        <v>0</v>
      </c>
      <c r="AD28" s="19"/>
      <c r="AE28" s="13">
        <f>AC28/D28</f>
        <v>0</v>
      </c>
      <c r="AF28" s="17"/>
      <c r="AG28" s="17"/>
      <c r="AI28" s="12"/>
      <c r="AJ28" s="19"/>
      <c r="AK28" s="13"/>
      <c r="AL28" s="17"/>
      <c r="AM28" s="17"/>
      <c r="AO28" s="12"/>
      <c r="AP28" s="19"/>
      <c r="AQ28" s="13">
        <f t="shared" si="13"/>
        <v>0</v>
      </c>
      <c r="AR28" s="17"/>
      <c r="AS28" s="17"/>
      <c r="AT28" s="32"/>
      <c r="AU28" s="27">
        <f t="shared" si="14"/>
        <v>0</v>
      </c>
    </row>
    <row r="29" spans="2:47" hidden="1" x14ac:dyDescent="0.25">
      <c r="B29" s="36" t="s">
        <v>35</v>
      </c>
      <c r="C29" s="1">
        <v>200</v>
      </c>
      <c r="D29" s="8">
        <v>200</v>
      </c>
      <c r="E29" s="12">
        <f>F29/5</f>
        <v>0</v>
      </c>
      <c r="F29" s="19"/>
      <c r="G29" s="14">
        <f t="shared" si="35"/>
        <v>0</v>
      </c>
      <c r="H29" s="17"/>
      <c r="I29" s="17"/>
      <c r="K29" s="12">
        <f>L29/5</f>
        <v>0</v>
      </c>
      <c r="L29" s="19"/>
      <c r="M29" s="13">
        <f t="shared" si="12"/>
        <v>0</v>
      </c>
      <c r="N29" s="17"/>
      <c r="O29" s="17"/>
      <c r="Q29" s="12">
        <f>R29/5</f>
        <v>0</v>
      </c>
      <c r="R29" s="19"/>
      <c r="S29" s="13">
        <f>Q29/D29</f>
        <v>0</v>
      </c>
      <c r="T29" s="17"/>
      <c r="U29" s="17"/>
      <c r="W29" s="12">
        <f>X29/5</f>
        <v>0</v>
      </c>
      <c r="X29" s="19"/>
      <c r="Y29" s="13">
        <f>W29/D29</f>
        <v>0</v>
      </c>
      <c r="Z29" s="17"/>
      <c r="AA29" s="17"/>
      <c r="AC29" s="12">
        <f>AD29/5</f>
        <v>0</v>
      </c>
      <c r="AD29" s="19"/>
      <c r="AE29" s="13">
        <f>AC29/D29</f>
        <v>0</v>
      </c>
      <c r="AF29" s="17"/>
      <c r="AG29" s="17"/>
      <c r="AI29" s="12"/>
      <c r="AJ29" s="19"/>
      <c r="AK29" s="13"/>
      <c r="AL29" s="17"/>
      <c r="AM29" s="17"/>
      <c r="AO29" s="12"/>
      <c r="AP29" s="19"/>
      <c r="AQ29" s="13">
        <f t="shared" si="13"/>
        <v>0</v>
      </c>
      <c r="AR29" s="17"/>
      <c r="AS29" s="17"/>
      <c r="AT29" s="32"/>
      <c r="AU29" s="27">
        <f t="shared" si="14"/>
        <v>0</v>
      </c>
    </row>
    <row r="30" spans="2:47" hidden="1" x14ac:dyDescent="0.25">
      <c r="B30" s="25" t="s">
        <v>37</v>
      </c>
      <c r="C30" s="1">
        <v>864</v>
      </c>
      <c r="D30" s="8">
        <v>864</v>
      </c>
      <c r="E30" s="12">
        <f>F30/0.42</f>
        <v>0</v>
      </c>
      <c r="F30" s="19"/>
      <c r="G30" s="14">
        <f t="shared" si="35"/>
        <v>0</v>
      </c>
      <c r="H30" s="17">
        <v>0.27</v>
      </c>
      <c r="I30" s="17">
        <f t="shared" si="1"/>
        <v>0</v>
      </c>
      <c r="K30" s="12">
        <f>L30/0.42</f>
        <v>0</v>
      </c>
      <c r="L30" s="19"/>
      <c r="M30" s="13">
        <f t="shared" si="12"/>
        <v>0</v>
      </c>
      <c r="N30" s="17">
        <v>0.27</v>
      </c>
      <c r="O30" s="17">
        <f t="shared" si="2"/>
        <v>0</v>
      </c>
      <c r="Q30" s="12">
        <f>R30/0.42</f>
        <v>0</v>
      </c>
      <c r="R30" s="19"/>
      <c r="S30" s="13">
        <f t="shared" si="3"/>
        <v>0</v>
      </c>
      <c r="T30" s="17">
        <v>0.27</v>
      </c>
      <c r="U30" s="17">
        <f t="shared" si="25"/>
        <v>0</v>
      </c>
      <c r="W30" s="12">
        <f>X30/0.42</f>
        <v>0</v>
      </c>
      <c r="X30" s="19"/>
      <c r="Y30" s="13">
        <f t="shared" si="5"/>
        <v>0</v>
      </c>
      <c r="Z30" s="17">
        <v>0.27</v>
      </c>
      <c r="AA30" s="17">
        <f t="shared" si="26"/>
        <v>0</v>
      </c>
      <c r="AC30" s="12">
        <f>AD30/0.42</f>
        <v>0</v>
      </c>
      <c r="AD30" s="19"/>
      <c r="AE30" s="13">
        <f t="shared" si="7"/>
        <v>0</v>
      </c>
      <c r="AF30" s="17">
        <v>0.27</v>
      </c>
      <c r="AG30" s="17">
        <f t="shared" si="27"/>
        <v>0</v>
      </c>
      <c r="AI30" s="12">
        <f>AJ30/0.42</f>
        <v>0</v>
      </c>
      <c r="AJ30" s="19"/>
      <c r="AK30" s="13">
        <f t="shared" si="9"/>
        <v>0</v>
      </c>
      <c r="AL30" s="17">
        <v>0.27</v>
      </c>
      <c r="AM30" s="17">
        <f t="shared" si="28"/>
        <v>0</v>
      </c>
      <c r="AO30" s="12">
        <f>AP30/0.42</f>
        <v>0</v>
      </c>
      <c r="AP30" s="19"/>
      <c r="AQ30" s="13">
        <f t="shared" si="13"/>
        <v>0</v>
      </c>
      <c r="AR30" s="17">
        <v>0.27</v>
      </c>
      <c r="AS30" s="17">
        <f t="shared" ref="AS30:AS31" si="36">AO30*AR30</f>
        <v>0</v>
      </c>
      <c r="AT30" s="32"/>
      <c r="AU30" s="27">
        <f t="shared" si="14"/>
        <v>0</v>
      </c>
    </row>
    <row r="31" spans="2:47" x14ac:dyDescent="0.25">
      <c r="B31" s="25" t="s">
        <v>38</v>
      </c>
      <c r="C31" s="1">
        <v>600</v>
      </c>
      <c r="D31" s="8">
        <v>600</v>
      </c>
      <c r="E31" s="12">
        <f>F31/0.8</f>
        <v>0</v>
      </c>
      <c r="F31" s="19"/>
      <c r="G31" s="14">
        <f t="shared" si="35"/>
        <v>0</v>
      </c>
      <c r="H31" s="17">
        <v>0.47</v>
      </c>
      <c r="I31" s="17">
        <f>E31*H31</f>
        <v>0</v>
      </c>
      <c r="K31" s="12">
        <f>L31/0.8</f>
        <v>1200</v>
      </c>
      <c r="L31" s="19">
        <v>960</v>
      </c>
      <c r="M31" s="13">
        <f t="shared" si="12"/>
        <v>2</v>
      </c>
      <c r="N31" s="17">
        <v>0.47</v>
      </c>
      <c r="O31" s="17">
        <f t="shared" si="2"/>
        <v>564</v>
      </c>
      <c r="Q31" s="12">
        <f>R31/0.8</f>
        <v>1200</v>
      </c>
      <c r="R31" s="19">
        <v>960</v>
      </c>
      <c r="S31" s="13">
        <f t="shared" si="3"/>
        <v>2</v>
      </c>
      <c r="T31" s="17">
        <v>0.47</v>
      </c>
      <c r="U31" s="17">
        <f t="shared" si="25"/>
        <v>564</v>
      </c>
      <c r="W31" s="12">
        <f>X31/0.8</f>
        <v>725</v>
      </c>
      <c r="X31" s="19">
        <v>580</v>
      </c>
      <c r="Y31" s="13">
        <f t="shared" si="5"/>
        <v>1.2083333333333333</v>
      </c>
      <c r="Z31" s="17">
        <v>0.47</v>
      </c>
      <c r="AA31" s="17">
        <f t="shared" si="26"/>
        <v>340.75</v>
      </c>
      <c r="AC31" s="12">
        <f>AD31/0.8</f>
        <v>0</v>
      </c>
      <c r="AD31" s="19"/>
      <c r="AE31" s="13">
        <f t="shared" si="7"/>
        <v>0</v>
      </c>
      <c r="AF31" s="17">
        <v>0.47</v>
      </c>
      <c r="AG31" s="17">
        <f t="shared" si="27"/>
        <v>0</v>
      </c>
      <c r="AI31" s="12">
        <f>AJ31/0.8</f>
        <v>0</v>
      </c>
      <c r="AJ31" s="19"/>
      <c r="AK31" s="13">
        <f t="shared" si="9"/>
        <v>0</v>
      </c>
      <c r="AL31" s="17">
        <v>0.47</v>
      </c>
      <c r="AM31" s="17">
        <f t="shared" si="28"/>
        <v>0</v>
      </c>
      <c r="AO31" s="12">
        <f>AP31/0.8</f>
        <v>0</v>
      </c>
      <c r="AP31" s="19"/>
      <c r="AQ31" s="13">
        <f t="shared" si="13"/>
        <v>0</v>
      </c>
      <c r="AR31" s="17">
        <v>0.47</v>
      </c>
      <c r="AS31" s="17">
        <f t="shared" si="36"/>
        <v>0</v>
      </c>
      <c r="AT31" s="32">
        <v>2500</v>
      </c>
      <c r="AU31" s="27">
        <f t="shared" si="14"/>
        <v>0</v>
      </c>
    </row>
    <row r="32" spans="2:47" x14ac:dyDescent="0.25">
      <c r="B32" s="28" t="s">
        <v>33</v>
      </c>
      <c r="C32" s="4">
        <v>600</v>
      </c>
      <c r="D32" s="8">
        <v>600</v>
      </c>
      <c r="E32" s="12">
        <f>F32/0.8</f>
        <v>0</v>
      </c>
      <c r="F32" s="19"/>
      <c r="G32" s="14">
        <f>E32/D32</f>
        <v>0</v>
      </c>
      <c r="H32" s="17">
        <v>0.73</v>
      </c>
      <c r="I32" s="17">
        <f t="shared" si="1"/>
        <v>0</v>
      </c>
      <c r="K32" s="12">
        <f>L32/0.8</f>
        <v>0</v>
      </c>
      <c r="L32" s="19"/>
      <c r="M32" s="13">
        <f>K32/D32</f>
        <v>0</v>
      </c>
      <c r="N32" s="17">
        <v>0.73</v>
      </c>
      <c r="O32" s="17">
        <f t="shared" si="2"/>
        <v>0</v>
      </c>
      <c r="Q32" s="12">
        <f>R32/0.8</f>
        <v>0</v>
      </c>
      <c r="R32" s="19"/>
      <c r="S32" s="13">
        <f t="shared" si="3"/>
        <v>0</v>
      </c>
      <c r="T32" s="17">
        <v>0.73</v>
      </c>
      <c r="U32" s="17">
        <f t="shared" si="25"/>
        <v>0</v>
      </c>
      <c r="W32" s="12">
        <f>X32/0.8</f>
        <v>937.5</v>
      </c>
      <c r="X32" s="19">
        <v>750</v>
      </c>
      <c r="Y32" s="13">
        <f t="shared" si="5"/>
        <v>1.5625</v>
      </c>
      <c r="Z32" s="17">
        <v>0.73</v>
      </c>
      <c r="AA32" s="17">
        <f t="shared" si="26"/>
        <v>684.375</v>
      </c>
      <c r="AC32" s="12">
        <f>AD32/0.8</f>
        <v>0</v>
      </c>
      <c r="AD32" s="19"/>
      <c r="AE32" s="13">
        <f t="shared" si="7"/>
        <v>0</v>
      </c>
      <c r="AF32" s="17">
        <v>0.73</v>
      </c>
      <c r="AG32" s="17">
        <f t="shared" si="27"/>
        <v>0</v>
      </c>
      <c r="AI32" s="12">
        <f>AJ32/0.87</f>
        <v>0</v>
      </c>
      <c r="AJ32" s="19"/>
      <c r="AK32" s="13">
        <f t="shared" si="9"/>
        <v>0</v>
      </c>
      <c r="AL32" s="17">
        <v>0.73</v>
      </c>
      <c r="AM32" s="17">
        <f t="shared" si="28"/>
        <v>0</v>
      </c>
      <c r="AO32" s="12">
        <f>AP32/0.87</f>
        <v>0</v>
      </c>
      <c r="AP32" s="19"/>
      <c r="AQ32" s="13">
        <f t="shared" si="13"/>
        <v>0</v>
      </c>
      <c r="AR32" s="17">
        <v>0.73</v>
      </c>
      <c r="AS32" s="17">
        <f t="shared" ref="AS32" si="37">AO32*AR32</f>
        <v>0</v>
      </c>
      <c r="AT32" s="27">
        <v>750</v>
      </c>
      <c r="AU32" s="27">
        <f t="shared" si="14"/>
        <v>0</v>
      </c>
    </row>
    <row r="33" spans="2:47" ht="15.75" thickBot="1" x14ac:dyDescent="0.3">
      <c r="B33" s="2"/>
      <c r="C33" s="2"/>
      <c r="D33" s="2"/>
      <c r="E33" s="15">
        <f>SUM(E6:E32)</f>
        <v>33536.666666666672</v>
      </c>
      <c r="F33" s="16">
        <f>SUM(F6:F32)</f>
        <v>18830</v>
      </c>
      <c r="G33" s="29">
        <f>SUM(G6:G32)</f>
        <v>51.027777777777779</v>
      </c>
      <c r="H33" s="6"/>
      <c r="I33" s="17">
        <f>SUM(I6:I32)</f>
        <v>19022.2</v>
      </c>
      <c r="J33" s="18"/>
      <c r="K33" s="15">
        <f>SUM(K6:K32)</f>
        <v>33088.095238095237</v>
      </c>
      <c r="L33" s="16">
        <f>SUM(L6:L32)</f>
        <v>18869.8</v>
      </c>
      <c r="M33" s="29">
        <f>SUM(M6:M32)</f>
        <v>51.75768598685265</v>
      </c>
      <c r="N33" s="6"/>
      <c r="O33" s="17">
        <f>SUM(O6:O32)</f>
        <v>18304.590476190475</v>
      </c>
      <c r="P33" s="18"/>
      <c r="Q33" s="15">
        <f>SUM(Q6:Q32)</f>
        <v>41036.666666666672</v>
      </c>
      <c r="R33" s="16">
        <f>SUM(R6:R32)</f>
        <v>18983.8</v>
      </c>
      <c r="S33" s="29">
        <f>SUM(S6:S32)</f>
        <v>52.683852413019082</v>
      </c>
      <c r="T33" s="6"/>
      <c r="U33" s="17">
        <f>SUM(U6:U32)</f>
        <v>25790.247619047619</v>
      </c>
      <c r="V33" s="18"/>
      <c r="W33" s="15">
        <f>SUM(W6:W32)</f>
        <v>31814.642857142855</v>
      </c>
      <c r="X33" s="16">
        <f>SUM(X6:X32)</f>
        <v>18696.7</v>
      </c>
      <c r="Y33" s="29">
        <f>SUM(Y6:Y32)</f>
        <v>47.770998677248677</v>
      </c>
      <c r="Z33" s="6"/>
      <c r="AA33" s="17">
        <f>SUM(AA6:AA32)</f>
        <v>19324.210714285717</v>
      </c>
      <c r="AB33" s="18"/>
      <c r="AC33" s="15">
        <f>SUM(AC6:AC32)</f>
        <v>39333.333333333336</v>
      </c>
      <c r="AD33" s="16">
        <f>SUM(AD6:AD32)</f>
        <v>18658</v>
      </c>
      <c r="AE33" s="31">
        <f>SUM(AE6:AE32)</f>
        <v>47.01010101010101</v>
      </c>
      <c r="AF33" s="6"/>
      <c r="AG33" s="17">
        <f>SUM(AG6:AG32)</f>
        <v>35308.400000000001</v>
      </c>
      <c r="AH33" s="18"/>
      <c r="AI33" s="15">
        <f>SUM(AI6:AI32)</f>
        <v>0</v>
      </c>
      <c r="AJ33" s="16">
        <f>SUM(AJ6:AJ32)</f>
        <v>0</v>
      </c>
      <c r="AK33" s="29">
        <f>SUM(AK6:AK32)</f>
        <v>0</v>
      </c>
      <c r="AL33" s="6"/>
      <c r="AM33" s="17">
        <f>SUM(AM6:AM32)</f>
        <v>0</v>
      </c>
      <c r="AN33" s="18"/>
      <c r="AO33" s="15">
        <f>SUM(AO6:AO32)</f>
        <v>0</v>
      </c>
      <c r="AP33" s="16">
        <f>SUM(AP6:AP32)</f>
        <v>0</v>
      </c>
      <c r="AQ33" s="29">
        <f>SUM(AQ6:AQ32)</f>
        <v>0</v>
      </c>
      <c r="AR33" s="6"/>
      <c r="AS33" s="17">
        <f>SUM(AS6:AS32)</f>
        <v>0</v>
      </c>
      <c r="AT33" s="27">
        <f>SUM(AT6:AT32)</f>
        <v>94038.3</v>
      </c>
      <c r="AU33" s="27"/>
    </row>
    <row r="34" spans="2:47" x14ac:dyDescent="0.25">
      <c r="H34" s="6"/>
      <c r="I34" s="6"/>
      <c r="J34" s="18"/>
      <c r="N34" s="6"/>
      <c r="O34" s="6"/>
      <c r="P34" s="18"/>
      <c r="T34" s="6"/>
      <c r="U34" s="6"/>
      <c r="V34" s="18"/>
      <c r="Z34" s="6"/>
      <c r="AA34" s="6"/>
      <c r="AB34" s="18"/>
      <c r="AF34" s="6"/>
      <c r="AG34" s="6"/>
      <c r="AH34" s="18"/>
      <c r="AL34" s="6"/>
      <c r="AM34" s="6"/>
      <c r="AN34" s="18"/>
      <c r="AR34" s="6"/>
      <c r="AS34" s="6"/>
      <c r="AT34" s="27"/>
      <c r="AU34" s="27"/>
    </row>
    <row r="35" spans="2:47" x14ac:dyDescent="0.25">
      <c r="B35" s="20"/>
      <c r="E35" s="18"/>
      <c r="F35" s="18"/>
      <c r="G35" s="18"/>
      <c r="J35" s="21"/>
      <c r="K35" s="18"/>
      <c r="L35" s="21"/>
      <c r="M35" s="18"/>
      <c r="P35" s="21"/>
      <c r="Q35" s="18"/>
      <c r="R35" s="18"/>
      <c r="S35" s="18"/>
      <c r="V35" s="21"/>
      <c r="W35" s="18"/>
      <c r="X35" s="18"/>
      <c r="Y35" s="18"/>
      <c r="AB35" s="21"/>
      <c r="AC35" s="18"/>
      <c r="AD35" s="18"/>
      <c r="AE35" s="18"/>
      <c r="AH35" s="21"/>
      <c r="AI35" s="18"/>
      <c r="AJ35" s="18"/>
      <c r="AK35" s="18"/>
      <c r="AN35" s="21"/>
      <c r="AO35" s="18"/>
      <c r="AP35" s="18"/>
      <c r="AQ35" s="18"/>
      <c r="AT35" s="27">
        <v>94038.3</v>
      </c>
      <c r="AU35" s="27">
        <v>250.25</v>
      </c>
    </row>
    <row r="36" spans="2:47" x14ac:dyDescent="0.25">
      <c r="E36" s="18"/>
      <c r="F36" s="21"/>
      <c r="G36" s="18"/>
      <c r="J36" s="21"/>
      <c r="K36" s="18"/>
      <c r="L36" s="21"/>
      <c r="M36" s="18"/>
      <c r="P36" s="21"/>
      <c r="Q36" s="18"/>
      <c r="R36" s="21"/>
      <c r="S36" s="18"/>
      <c r="V36" s="21"/>
      <c r="W36" s="18"/>
      <c r="X36" s="21"/>
      <c r="Y36" s="18"/>
      <c r="AB36" s="21"/>
      <c r="AC36" s="18"/>
      <c r="AD36" s="21"/>
      <c r="AE36" s="18"/>
      <c r="AH36" s="21"/>
      <c r="AI36" s="18"/>
      <c r="AJ36" s="21"/>
      <c r="AK36" s="18"/>
      <c r="AN36" s="21"/>
      <c r="AO36" s="18"/>
      <c r="AP36" s="21"/>
      <c r="AQ36" s="18"/>
      <c r="AT36" s="27">
        <f>AT35-AD33-X33-R33-L33-F33-AJ33-AP33</f>
        <v>3.637978807091713E-12</v>
      </c>
      <c r="AU36" s="27">
        <f>AU35-AE33-Y33-S33-M33-G33-AK33-AQ33</f>
        <v>-4.1586499920498454E-4</v>
      </c>
    </row>
    <row r="37" spans="2:47" x14ac:dyDescent="0.25">
      <c r="E37" s="18"/>
      <c r="F37" s="18"/>
      <c r="G37" s="18"/>
      <c r="K37" s="18"/>
      <c r="L37" s="18"/>
      <c r="M37" s="18"/>
      <c r="Q37" s="18"/>
      <c r="R37" s="18"/>
      <c r="S37" s="18"/>
      <c r="W37" s="18"/>
      <c r="X37" s="18"/>
      <c r="Y37" s="18"/>
      <c r="AC37" s="18"/>
      <c r="AD37" s="18"/>
      <c r="AE37" s="18"/>
      <c r="AI37" s="18"/>
      <c r="AJ37" s="18"/>
      <c r="AK37" s="18"/>
      <c r="AO37" s="18"/>
      <c r="AP37" s="18"/>
      <c r="AQ37" s="18"/>
      <c r="AT37" s="24"/>
    </row>
    <row r="38" spans="2:47" x14ac:dyDescent="0.25">
      <c r="E38" s="18"/>
      <c r="L38" s="18"/>
      <c r="R38" s="18"/>
      <c r="X38" s="18"/>
      <c r="AD38" s="18"/>
      <c r="AJ38" s="18"/>
      <c r="AP38" s="18"/>
    </row>
    <row r="39" spans="2:47" x14ac:dyDescent="0.25">
      <c r="E39" s="18"/>
      <c r="L39" s="18"/>
      <c r="R39" s="18"/>
      <c r="X39" s="18"/>
      <c r="AD39" s="18"/>
      <c r="AJ39" s="18"/>
      <c r="AP39" s="18"/>
    </row>
    <row r="40" spans="2:47" x14ac:dyDescent="0.25">
      <c r="E40" s="18"/>
    </row>
    <row r="41" spans="2:47" x14ac:dyDescent="0.25">
      <c r="E41" s="18"/>
    </row>
    <row r="42" spans="2:47" x14ac:dyDescent="0.25">
      <c r="E42" s="18"/>
    </row>
  </sheetData>
  <mergeCells count="17">
    <mergeCell ref="B4:B5"/>
    <mergeCell ref="C4:C5"/>
    <mergeCell ref="D4:D5"/>
    <mergeCell ref="E4:G4"/>
    <mergeCell ref="E3:G3"/>
    <mergeCell ref="AO3:AQ3"/>
    <mergeCell ref="AO4:AQ4"/>
    <mergeCell ref="AI3:AK3"/>
    <mergeCell ref="AI4:AK4"/>
    <mergeCell ref="K3:M3"/>
    <mergeCell ref="K4:M4"/>
    <mergeCell ref="W3:Y3"/>
    <mergeCell ref="W4:Y4"/>
    <mergeCell ref="AC3:AE3"/>
    <mergeCell ref="AC4:AE4"/>
    <mergeCell ref="Q3:S3"/>
    <mergeCell ref="Q4:S4"/>
  </mergeCells>
  <pageMargins left="0.25" right="0.25" top="0.75" bottom="0.75" header="0.3" footer="0.3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2025-11-26T16:38:42Z</dcterms:modified>
</cp:coreProperties>
</file>