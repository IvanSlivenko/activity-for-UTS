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/>
  </bookViews>
  <sheets>
    <sheet name="Коефіцієнт Обертання" sheetId="2" r:id="rId1"/>
    <sheet name="Вартість на 08-05-2026" sheetId="3" r:id="rId2"/>
  </sheets>
  <calcPr calcId="124519"/>
</workbook>
</file>

<file path=xl/calcChain.xml><?xml version="1.0" encoding="utf-8"?>
<calcChain xmlns="http://schemas.openxmlformats.org/spreadsheetml/2006/main">
  <c r="H31" i="2"/>
  <c r="H47"/>
  <c r="H44"/>
  <c r="H27"/>
  <c r="H49"/>
  <c r="H40"/>
  <c r="H29"/>
  <c r="H25"/>
  <c r="H10"/>
  <c r="H67"/>
  <c r="H12"/>
  <c r="H50"/>
  <c r="H55"/>
  <c r="H14"/>
  <c r="H5"/>
  <c r="H39"/>
  <c r="H57"/>
  <c r="H43"/>
  <c r="H9"/>
  <c r="H42"/>
  <c r="H6"/>
  <c r="H3"/>
  <c r="H22"/>
  <c r="H60"/>
  <c r="H48"/>
  <c r="H17"/>
  <c r="H18"/>
  <c r="H23"/>
  <c r="H7"/>
  <c r="H68"/>
  <c r="H37"/>
  <c r="H54"/>
  <c r="H64"/>
  <c r="H38"/>
  <c r="H52"/>
  <c r="H53"/>
  <c r="H24"/>
  <c r="H33"/>
  <c r="H45"/>
  <c r="H4"/>
  <c r="H51"/>
  <c r="H56"/>
  <c r="H30"/>
  <c r="H13"/>
  <c r="H62"/>
  <c r="H63"/>
  <c r="H11"/>
  <c r="H8"/>
  <c r="H16"/>
  <c r="H15"/>
  <c r="H41"/>
  <c r="H19"/>
  <c r="H65"/>
  <c r="H36"/>
  <c r="H32"/>
  <c r="H46"/>
  <c r="H20"/>
  <c r="H59"/>
  <c r="H21"/>
  <c r="H26"/>
  <c r="H34"/>
  <c r="H28"/>
  <c r="H61"/>
  <c r="H35"/>
  <c r="H58"/>
  <c r="H66"/>
  <c r="H69"/>
  <c r="H2"/>
</calcChain>
</file>

<file path=xl/sharedStrings.xml><?xml version="1.0" encoding="utf-8"?>
<sst xmlns="http://schemas.openxmlformats.org/spreadsheetml/2006/main" count="148" uniqueCount="79">
  <si>
    <t>Димоходи</t>
  </si>
  <si>
    <t>П/Е (поліетилен)</t>
  </si>
  <si>
    <t>Котли та комплектуючі</t>
  </si>
  <si>
    <t>Мойки</t>
  </si>
  <si>
    <t>Насосне обладнання,гідроакомулятори</t>
  </si>
  <si>
    <t>Конвектори, керамічні панелі</t>
  </si>
  <si>
    <t>Тепла підлога (водяна)</t>
  </si>
  <si>
    <t>Батарейки</t>
  </si>
  <si>
    <t>Стабілізатори, ДБЖ</t>
  </si>
  <si>
    <t>Аксесуари для ванної</t>
  </si>
  <si>
    <t>Баки пластикові</t>
  </si>
  <si>
    <t>Вентилятори побутові</t>
  </si>
  <si>
    <t>Вентиляція</t>
  </si>
  <si>
    <t>Електро - водонагрівачі</t>
  </si>
  <si>
    <t>Запорна арматура</t>
  </si>
  <si>
    <t>Змішувачі і комплектуючі</t>
  </si>
  <si>
    <t>Каналізація</t>
  </si>
  <si>
    <t>Кондиціонери та теплові насоси</t>
  </si>
  <si>
    <t>Кріплення, трос,затискачі,хомути</t>
  </si>
  <si>
    <t>Лівньовка</t>
  </si>
  <si>
    <t>Люки невидимки</t>
  </si>
  <si>
    <t>Металопластік</t>
  </si>
  <si>
    <t>Очистка води</t>
  </si>
  <si>
    <t>Перехідники латунь, нікель</t>
  </si>
  <si>
    <t>Полив</t>
  </si>
  <si>
    <t>Поліпропілен</t>
  </si>
  <si>
    <t>Радіатори, тени</t>
  </si>
  <si>
    <t>Різне</t>
  </si>
  <si>
    <t>Сантехніка</t>
  </si>
  <si>
    <t>Склад обладнання</t>
  </si>
  <si>
    <t>Тепла підлога (електро)</t>
  </si>
  <si>
    <t>Теплоізоляція</t>
  </si>
  <si>
    <t>Терморегулятори</t>
  </si>
  <si>
    <t>Фітинг бистрозажимний GEBO</t>
  </si>
  <si>
    <t>Фітінги (чорний метал )</t>
  </si>
  <si>
    <t>Шланги, прокладки</t>
  </si>
  <si>
    <t>Арматури, сифони, трап, гофри на унітаз</t>
  </si>
  <si>
    <t>Колонки газові</t>
  </si>
  <si>
    <t>Лічильники води</t>
  </si>
  <si>
    <t>Рушникосушарки</t>
  </si>
  <si>
    <t xml:space="preserve">Люки </t>
  </si>
  <si>
    <t>Без Групи</t>
  </si>
  <si>
    <t>Нач. остаток</t>
  </si>
  <si>
    <t>Приход</t>
  </si>
  <si>
    <t>Расход</t>
  </si>
  <si>
    <t>Кон. остаток</t>
  </si>
  <si>
    <t>Середній Залишок</t>
  </si>
  <si>
    <t>Коефіцієнт обертання</t>
  </si>
  <si>
    <t>2016 Магазин Електрики</t>
  </si>
  <si>
    <t>2016 Магазин Опалення</t>
  </si>
  <si>
    <t>2016 НаВидалення</t>
  </si>
  <si>
    <t>Автомати</t>
  </si>
  <si>
    <t>Блок живлення</t>
  </si>
  <si>
    <t>Вилки, гнізда, колодки</t>
  </si>
  <si>
    <t>Гофра, ізолента, термоусадка</t>
  </si>
  <si>
    <t>Датчики руху, реле напруги, реле часу, паяльники та ін.</t>
  </si>
  <si>
    <t>Дзвінки, TV штекера, вимикачі бра</t>
  </si>
  <si>
    <t>Дінрейка, нульова шина, шина зєднувальна, патрони, наконечники</t>
  </si>
  <si>
    <t>Електрофорнітура</t>
  </si>
  <si>
    <t>Індикатори, мультіметри</t>
  </si>
  <si>
    <t>Інструмент</t>
  </si>
  <si>
    <t>Короб пластиковий</t>
  </si>
  <si>
    <t>Лампи</t>
  </si>
  <si>
    <t>Лічильники Електроенергії</t>
  </si>
  <si>
    <t>Нагрівачі</t>
  </si>
  <si>
    <t>Підрозетники, коробки розподільчі зов. і внут.</t>
  </si>
  <si>
    <t>Подовжувачі електричні</t>
  </si>
  <si>
    <t>Провід, кабель,шнур</t>
  </si>
  <si>
    <t>Прожектори,фонарі</t>
  </si>
  <si>
    <t>Різне (Ел)</t>
  </si>
  <si>
    <t>Світильники</t>
  </si>
  <si>
    <t>Світлодіодна лента, модулі, гирлянди</t>
  </si>
  <si>
    <t>Стартера, тройніки</t>
  </si>
  <si>
    <t>Хомути, скоби, стяжки</t>
  </si>
  <si>
    <t>Щитки</t>
  </si>
  <si>
    <t>Номенклатурна Група</t>
  </si>
  <si>
    <t>Кількість</t>
  </si>
  <si>
    <t>Вартість</t>
  </si>
  <si>
    <t>Вартість на 08-05-2026</t>
  </si>
</sst>
</file>

<file path=xl/styles.xml><?xml version="1.0" encoding="utf-8"?>
<styleSheet xmlns="http://schemas.openxmlformats.org/spreadsheetml/2006/main">
  <numFmts count="4">
    <numFmt numFmtId="164" formatCode="#,##0.000;[Red]\-#,##0.000"/>
    <numFmt numFmtId="165" formatCode="0.000;[Red]\-0.000"/>
    <numFmt numFmtId="166" formatCode="#,##0.00;[Red]\-#,##0.00"/>
    <numFmt numFmtId="167" formatCode="0.00;[Red]\-0.00"/>
  </numFmts>
  <fonts count="4"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8"/>
      <color indexed="8"/>
      <name val="Arial"/>
      <family val="2"/>
    </font>
    <font>
      <b/>
      <sz val="8"/>
      <color indexed="5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0">
    <xf numFmtId="0" fontId="0" fillId="0" borderId="0" xfId="0"/>
    <xf numFmtId="0" fontId="0" fillId="0" borderId="0" xfId="0"/>
    <xf numFmtId="0" fontId="3" fillId="2" borderId="1" xfId="1" applyNumberFormat="1" applyFont="1" applyFill="1" applyBorder="1" applyAlignment="1">
      <alignment horizontal="center" vertical="top" wrapText="1"/>
    </xf>
    <xf numFmtId="0" fontId="3" fillId="2" borderId="1" xfId="1" applyNumberFormat="1" applyFont="1" applyFill="1" applyBorder="1" applyAlignment="1">
      <alignment horizontal="left" vertical="top"/>
    </xf>
    <xf numFmtId="0" fontId="2" fillId="2" borderId="1" xfId="1" applyNumberFormat="1" applyFont="1" applyFill="1" applyBorder="1" applyAlignment="1">
      <alignment horizontal="left" vertical="top" wrapText="1"/>
    </xf>
    <xf numFmtId="164" fontId="2" fillId="2" borderId="1" xfId="1" applyNumberFormat="1" applyFont="1" applyFill="1" applyBorder="1" applyAlignment="1">
      <alignment horizontal="right" vertical="top" wrapText="1"/>
    </xf>
    <xf numFmtId="165" fontId="2" fillId="2" borderId="1" xfId="1" applyNumberFormat="1" applyFont="1" applyFill="1" applyBorder="1" applyAlignment="1">
      <alignment horizontal="right" vertical="top" wrapText="1"/>
    </xf>
    <xf numFmtId="0" fontId="2" fillId="2" borderId="1" xfId="1" applyNumberFormat="1" applyFont="1" applyFill="1" applyBorder="1" applyAlignment="1">
      <alignment horizontal="right" vertical="top" wrapText="1"/>
    </xf>
    <xf numFmtId="0" fontId="3" fillId="2" borderId="0" xfId="1" applyNumberFormat="1" applyFont="1" applyFill="1" applyBorder="1" applyAlignment="1">
      <alignment horizontal="center" vertical="top" wrapText="1"/>
    </xf>
    <xf numFmtId="4" fontId="0" fillId="0" borderId="0" xfId="0" applyNumberFormat="1"/>
    <xf numFmtId="0" fontId="2" fillId="3" borderId="1" xfId="1" applyNumberFormat="1" applyFont="1" applyFill="1" applyBorder="1" applyAlignment="1">
      <alignment horizontal="right" vertical="top" wrapText="1"/>
    </xf>
    <xf numFmtId="3" fontId="0" fillId="0" borderId="0" xfId="0" applyNumberFormat="1"/>
    <xf numFmtId="0" fontId="0" fillId="0" borderId="0" xfId="0"/>
    <xf numFmtId="0" fontId="2" fillId="2" borderId="1" xfId="1" applyNumberFormat="1" applyFont="1" applyFill="1" applyBorder="1" applyAlignment="1">
      <alignment horizontal="left" vertical="top" wrapText="1"/>
    </xf>
    <xf numFmtId="0" fontId="3" fillId="2" borderId="0" xfId="1" applyNumberFormat="1" applyFont="1" applyFill="1" applyBorder="1" applyAlignment="1">
      <alignment horizontal="center" vertical="top" wrapText="1"/>
    </xf>
    <xf numFmtId="0" fontId="2" fillId="2" borderId="1" xfId="2" applyNumberFormat="1" applyFont="1" applyFill="1" applyBorder="1" applyAlignment="1">
      <alignment horizontal="left" vertical="top" wrapText="1"/>
    </xf>
    <xf numFmtId="164" fontId="2" fillId="2" borderId="1" xfId="2" applyNumberFormat="1" applyFont="1" applyFill="1" applyBorder="1" applyAlignment="1">
      <alignment horizontal="right" vertical="top" wrapText="1"/>
    </xf>
    <xf numFmtId="166" fontId="2" fillId="2" borderId="1" xfId="2" applyNumberFormat="1" applyFont="1" applyFill="1" applyBorder="1" applyAlignment="1">
      <alignment horizontal="right" vertical="top" wrapText="1"/>
    </xf>
    <xf numFmtId="165" fontId="2" fillId="2" borderId="1" xfId="2" applyNumberFormat="1" applyFont="1" applyFill="1" applyBorder="1" applyAlignment="1">
      <alignment horizontal="right" vertical="top" wrapText="1"/>
    </xf>
    <xf numFmtId="167" fontId="2" fillId="2" borderId="1" xfId="2" applyNumberFormat="1" applyFont="1" applyFill="1" applyBorder="1" applyAlignment="1">
      <alignment horizontal="right" vertical="top" wrapText="1"/>
    </xf>
  </cellXfs>
  <cellStyles count="3">
    <cellStyle name="Обычный" xfId="0" builtinId="0"/>
    <cellStyle name="Обычный_Вартість Ном Груп" xfId="2"/>
    <cellStyle name="Обычный_Лист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1"/>
  <sheetViews>
    <sheetView tabSelected="1" workbookViewId="0">
      <pane xSplit="1" ySplit="2" topLeftCell="B38" activePane="bottomRight" state="frozen"/>
      <selection pane="topRight" activeCell="B1" sqref="B1"/>
      <selection pane="bottomLeft" activeCell="A3" sqref="A3"/>
      <selection pane="bottomRight" activeCell="O48" sqref="O48"/>
    </sheetView>
  </sheetViews>
  <sheetFormatPr defaultRowHeight="15"/>
  <cols>
    <col min="1" max="1" width="44.85546875" customWidth="1"/>
    <col min="2" max="2" width="8.7109375" bestFit="1" customWidth="1"/>
    <col min="3" max="4" width="9.5703125" bestFit="1" customWidth="1"/>
    <col min="5" max="5" width="8.7109375" bestFit="1" customWidth="1"/>
    <col min="8" max="8" width="10.5703125" customWidth="1"/>
  </cols>
  <sheetData>
    <row r="1" spans="1:8" ht="45">
      <c r="A1" s="3" t="s">
        <v>75</v>
      </c>
      <c r="B1" s="2" t="s">
        <v>42</v>
      </c>
      <c r="C1" s="2" t="s">
        <v>43</v>
      </c>
      <c r="D1" s="2" t="s">
        <v>44</v>
      </c>
      <c r="E1" s="2" t="s">
        <v>45</v>
      </c>
      <c r="F1" s="8" t="s">
        <v>46</v>
      </c>
      <c r="G1" s="8" t="s">
        <v>47</v>
      </c>
      <c r="H1" s="14" t="s">
        <v>78</v>
      </c>
    </row>
    <row r="2" spans="1:8">
      <c r="A2" s="13" t="s">
        <v>41</v>
      </c>
      <c r="B2" s="5">
        <v>7126</v>
      </c>
      <c r="C2" s="5">
        <v>25151</v>
      </c>
      <c r="D2" s="5">
        <v>24979</v>
      </c>
      <c r="E2" s="5">
        <v>7298</v>
      </c>
      <c r="F2" s="1">
        <v>7212</v>
      </c>
      <c r="G2" s="9">
        <v>3.463533000554631</v>
      </c>
      <c r="H2" s="11">
        <f>VLOOKUP(A2,'Вартість на 08-05-2026'!$A$1:$C$70,3,FALSE)</f>
        <v>1921801.63</v>
      </c>
    </row>
    <row r="3" spans="1:8">
      <c r="A3" s="4" t="s">
        <v>25</v>
      </c>
      <c r="B3" s="5">
        <v>15664</v>
      </c>
      <c r="C3" s="5">
        <v>59266.75</v>
      </c>
      <c r="D3" s="5">
        <v>58988</v>
      </c>
      <c r="E3" s="5">
        <v>15942.75</v>
      </c>
      <c r="F3" s="1">
        <v>15803.375</v>
      </c>
      <c r="G3" s="9">
        <v>3.732620405451367</v>
      </c>
      <c r="H3" s="11">
        <f>VLOOKUP(A3,'Вартість на 08-05-2026'!$A$1:$C$70,3,FALSE)</f>
        <v>922407.29</v>
      </c>
    </row>
    <row r="4" spans="1:8">
      <c r="A4" s="4" t="s">
        <v>2</v>
      </c>
      <c r="B4" s="6">
        <v>104</v>
      </c>
      <c r="C4" s="6">
        <v>690</v>
      </c>
      <c r="D4" s="6">
        <v>690</v>
      </c>
      <c r="E4" s="6">
        <v>104</v>
      </c>
      <c r="F4" s="1">
        <v>104</v>
      </c>
      <c r="G4" s="9">
        <v>6.634615384615385</v>
      </c>
      <c r="H4" s="11">
        <f>VLOOKUP(A4,'Вартість на 08-05-2026'!$A$1:$C$70,3,FALSE)</f>
        <v>800927.38</v>
      </c>
    </row>
    <row r="5" spans="1:8">
      <c r="A5" s="4" t="s">
        <v>28</v>
      </c>
      <c r="B5" s="6">
        <v>162</v>
      </c>
      <c r="C5" s="6">
        <v>623</v>
      </c>
      <c r="D5" s="6">
        <v>610</v>
      </c>
      <c r="E5" s="6">
        <v>175</v>
      </c>
      <c r="F5" s="1">
        <v>168.5</v>
      </c>
      <c r="G5" s="9">
        <v>3.6201780415430269</v>
      </c>
      <c r="H5" s="11">
        <f>VLOOKUP(A5,'Вартість на 08-05-2026'!$A$1:$C$70,3,FALSE)</f>
        <v>579548.87</v>
      </c>
    </row>
    <row r="6" spans="1:8">
      <c r="A6" s="4" t="s">
        <v>67</v>
      </c>
      <c r="B6" s="5">
        <v>15755</v>
      </c>
      <c r="C6" s="5">
        <v>77593</v>
      </c>
      <c r="D6" s="5">
        <v>77290</v>
      </c>
      <c r="E6" s="5">
        <v>16058</v>
      </c>
      <c r="F6" s="1">
        <v>15906.5</v>
      </c>
      <c r="G6" s="9">
        <v>4.8590198975261689</v>
      </c>
      <c r="H6" s="11">
        <f>VLOOKUP(A6,'Вартість на 08-05-2026'!$A$1:$C$70,3,FALSE)</f>
        <v>505603.11</v>
      </c>
    </row>
    <row r="7" spans="1:8">
      <c r="A7" s="4" t="s">
        <v>4</v>
      </c>
      <c r="B7" s="6">
        <v>357</v>
      </c>
      <c r="C7" s="5">
        <v>2661</v>
      </c>
      <c r="D7" s="5">
        <v>2572</v>
      </c>
      <c r="E7" s="6">
        <v>446</v>
      </c>
      <c r="F7" s="1">
        <v>401.5</v>
      </c>
      <c r="G7" s="9">
        <v>6.4059775840597757</v>
      </c>
      <c r="H7" s="11">
        <f>VLOOKUP(A7,'Вартість на 08-05-2026'!$A$1:$C$70,3,FALSE)</f>
        <v>411631.52</v>
      </c>
    </row>
    <row r="8" spans="1:8">
      <c r="A8" s="4" t="s">
        <v>14</v>
      </c>
      <c r="B8" s="5">
        <v>1516</v>
      </c>
      <c r="C8" s="5">
        <v>9135</v>
      </c>
      <c r="D8" s="5">
        <v>9065</v>
      </c>
      <c r="E8" s="5">
        <v>1586</v>
      </c>
      <c r="F8" s="1">
        <v>1551</v>
      </c>
      <c r="G8" s="9">
        <v>5.8446163765312704</v>
      </c>
      <c r="H8" s="11">
        <f>VLOOKUP(A8,'Вартість на 08-05-2026'!$A$1:$C$70,3,FALSE)</f>
        <v>407728.18</v>
      </c>
    </row>
    <row r="9" spans="1:8">
      <c r="A9" s="4" t="s">
        <v>26</v>
      </c>
      <c r="B9" s="6">
        <v>758</v>
      </c>
      <c r="C9" s="5">
        <v>6056</v>
      </c>
      <c r="D9" s="5">
        <v>5967</v>
      </c>
      <c r="E9" s="6">
        <v>847</v>
      </c>
      <c r="F9" s="1">
        <v>802.5</v>
      </c>
      <c r="G9" s="9">
        <v>7.4355140186915891</v>
      </c>
      <c r="H9" s="11">
        <f>VLOOKUP(A9,'Вартість на 08-05-2026'!$A$1:$C$70,3,FALSE)</f>
        <v>395800.4</v>
      </c>
    </row>
    <row r="10" spans="1:8">
      <c r="A10" s="4" t="s">
        <v>6</v>
      </c>
      <c r="B10" s="5">
        <v>22702</v>
      </c>
      <c r="C10" s="5">
        <v>184289</v>
      </c>
      <c r="D10" s="5">
        <v>183475</v>
      </c>
      <c r="E10" s="5">
        <v>23516</v>
      </c>
      <c r="F10" s="1">
        <v>23109</v>
      </c>
      <c r="G10" s="9">
        <v>7.939547362499459</v>
      </c>
      <c r="H10" s="11">
        <f>VLOOKUP(A10,'Вартість на 08-05-2026'!$A$1:$C$70,3,FALSE)</f>
        <v>341323.32</v>
      </c>
    </row>
    <row r="11" spans="1:8">
      <c r="A11" s="4" t="s">
        <v>15</v>
      </c>
      <c r="B11" s="6">
        <v>521</v>
      </c>
      <c r="C11" s="5">
        <v>1566</v>
      </c>
      <c r="D11" s="5">
        <v>1577</v>
      </c>
      <c r="E11" s="6">
        <v>510</v>
      </c>
      <c r="F11" s="1">
        <v>515.5</v>
      </c>
      <c r="G11" s="9">
        <v>3.0591658583899126</v>
      </c>
      <c r="H11" s="11">
        <f>VLOOKUP(A11,'Вартість на 08-05-2026'!$A$1:$C$70,3,FALSE)</f>
        <v>251518.18</v>
      </c>
    </row>
    <row r="12" spans="1:8">
      <c r="A12" s="4" t="s">
        <v>8</v>
      </c>
      <c r="B12" s="6">
        <v>15</v>
      </c>
      <c r="C12" s="6">
        <v>81</v>
      </c>
      <c r="D12" s="6">
        <v>72</v>
      </c>
      <c r="E12" s="6">
        <v>24</v>
      </c>
      <c r="F12" s="1">
        <v>19.5</v>
      </c>
      <c r="G12" s="9">
        <v>3.6923076923076925</v>
      </c>
      <c r="H12" s="11">
        <f>VLOOKUP(A12,'Вартість на 08-05-2026'!$A$1:$C$70,3,FALSE)</f>
        <v>246479.63</v>
      </c>
    </row>
    <row r="13" spans="1:8">
      <c r="A13" s="4" t="s">
        <v>16</v>
      </c>
      <c r="B13" s="5">
        <v>3408</v>
      </c>
      <c r="C13" s="5">
        <v>15884</v>
      </c>
      <c r="D13" s="5">
        <v>15429</v>
      </c>
      <c r="E13" s="5">
        <v>3863</v>
      </c>
      <c r="F13" s="1">
        <v>3635.5</v>
      </c>
      <c r="G13" s="9">
        <v>4.2439829459496634</v>
      </c>
      <c r="H13" s="11">
        <f>VLOOKUP(A13,'Вартість на 08-05-2026'!$A$1:$C$70,3,FALSE)</f>
        <v>242182.7</v>
      </c>
    </row>
    <row r="14" spans="1:8">
      <c r="A14" s="4" t="s">
        <v>70</v>
      </c>
      <c r="B14" s="6">
        <v>668</v>
      </c>
      <c r="C14" s="5">
        <v>2098</v>
      </c>
      <c r="D14" s="5">
        <v>2129</v>
      </c>
      <c r="E14" s="6">
        <v>637</v>
      </c>
      <c r="F14" s="1">
        <v>652.5</v>
      </c>
      <c r="G14" s="9">
        <v>3.2628352490421455</v>
      </c>
      <c r="H14" s="11">
        <f>VLOOKUP(A14,'Вартість на 08-05-2026'!$A$1:$C$70,3,FALSE)</f>
        <v>239264.89</v>
      </c>
    </row>
    <row r="15" spans="1:8">
      <c r="A15" s="4" t="s">
        <v>13</v>
      </c>
      <c r="B15" s="6">
        <v>28</v>
      </c>
      <c r="C15" s="6">
        <v>247</v>
      </c>
      <c r="D15" s="6">
        <v>234</v>
      </c>
      <c r="E15" s="6">
        <v>41</v>
      </c>
      <c r="F15" s="1">
        <v>34.5</v>
      </c>
      <c r="G15" s="9">
        <v>6.7826086956521738</v>
      </c>
      <c r="H15" s="11">
        <f>VLOOKUP(A15,'Вартість на 08-05-2026'!$A$1:$C$70,3,FALSE)</f>
        <v>229555.46</v>
      </c>
    </row>
    <row r="16" spans="1:8">
      <c r="A16" s="4" t="s">
        <v>58</v>
      </c>
      <c r="B16" s="5">
        <v>1857</v>
      </c>
      <c r="C16" s="5">
        <v>6771.84</v>
      </c>
      <c r="D16" s="5">
        <v>7097.84</v>
      </c>
      <c r="E16" s="5">
        <v>1531</v>
      </c>
      <c r="F16" s="1">
        <v>1694</v>
      </c>
      <c r="G16" s="9">
        <v>4.1899881936245578</v>
      </c>
      <c r="H16" s="11">
        <f>VLOOKUP(A16,'Вартість на 08-05-2026'!$A$1:$C$70,3,FALSE)</f>
        <v>215405.07</v>
      </c>
    </row>
    <row r="17" spans="1:8">
      <c r="A17" s="4" t="s">
        <v>23</v>
      </c>
      <c r="B17" s="5">
        <v>3085</v>
      </c>
      <c r="C17" s="5">
        <v>8135</v>
      </c>
      <c r="D17" s="5">
        <v>7887</v>
      </c>
      <c r="E17" s="5">
        <v>3333</v>
      </c>
      <c r="F17" s="1">
        <v>3209</v>
      </c>
      <c r="G17" s="9">
        <v>2.4577750077905889</v>
      </c>
      <c r="H17" s="11">
        <f>VLOOKUP(A17,'Вартість на 08-05-2026'!$A$1:$C$70,3,FALSE)</f>
        <v>195576</v>
      </c>
    </row>
    <row r="18" spans="1:8">
      <c r="A18" s="4" t="s">
        <v>1</v>
      </c>
      <c r="B18" s="5">
        <v>4064</v>
      </c>
      <c r="C18" s="5">
        <v>33079</v>
      </c>
      <c r="D18" s="5">
        <v>31976</v>
      </c>
      <c r="E18" s="5">
        <v>5167</v>
      </c>
      <c r="F18" s="1">
        <v>4615.5</v>
      </c>
      <c r="G18" s="9">
        <v>6.9279601343299753</v>
      </c>
      <c r="H18" s="11">
        <f>VLOOKUP(A18,'Вартість на 08-05-2026'!$A$1:$C$70,3,FALSE)</f>
        <v>189029.53</v>
      </c>
    </row>
    <row r="19" spans="1:8">
      <c r="A19" s="4" t="s">
        <v>0</v>
      </c>
      <c r="B19" s="6">
        <v>288</v>
      </c>
      <c r="C19" s="5">
        <v>1487</v>
      </c>
      <c r="D19" s="5">
        <v>1486</v>
      </c>
      <c r="E19" s="6">
        <v>289</v>
      </c>
      <c r="F19" s="1">
        <v>288.5</v>
      </c>
      <c r="G19" s="9">
        <v>5.1507798960138649</v>
      </c>
      <c r="H19" s="11">
        <f>VLOOKUP(A19,'Вартість на 08-05-2026'!$A$1:$C$70,3,FALSE)</f>
        <v>178853.27</v>
      </c>
    </row>
    <row r="20" spans="1:8">
      <c r="A20" s="4" t="s">
        <v>12</v>
      </c>
      <c r="B20" s="5">
        <v>1388</v>
      </c>
      <c r="C20" s="5">
        <v>2836</v>
      </c>
      <c r="D20" s="5">
        <v>2769</v>
      </c>
      <c r="E20" s="5">
        <v>1455</v>
      </c>
      <c r="F20" s="1">
        <v>1421.5</v>
      </c>
      <c r="G20" s="9">
        <v>1.94794231445656</v>
      </c>
      <c r="H20" s="11">
        <f>VLOOKUP(A20,'Вартість на 08-05-2026'!$A$1:$C$70,3,FALSE)</f>
        <v>163192.44</v>
      </c>
    </row>
    <row r="21" spans="1:8">
      <c r="A21" s="4" t="s">
        <v>52</v>
      </c>
      <c r="B21" s="6">
        <v>26</v>
      </c>
      <c r="C21" s="6">
        <v>154</v>
      </c>
      <c r="D21" s="6">
        <v>145</v>
      </c>
      <c r="E21" s="6">
        <v>35</v>
      </c>
      <c r="F21" s="1">
        <v>30.5</v>
      </c>
      <c r="G21" s="9">
        <v>4.7540983606557381</v>
      </c>
      <c r="H21" s="11">
        <f>VLOOKUP(A21,'Вартість на 08-05-2026'!$A$1:$C$70,3,FALSE)</f>
        <v>142885.1</v>
      </c>
    </row>
    <row r="22" spans="1:8">
      <c r="A22" s="4" t="s">
        <v>24</v>
      </c>
      <c r="B22" s="5">
        <v>15123</v>
      </c>
      <c r="C22" s="5">
        <v>67186</v>
      </c>
      <c r="D22" s="5">
        <v>67260</v>
      </c>
      <c r="E22" s="5">
        <v>15049</v>
      </c>
      <c r="F22" s="1">
        <v>15086</v>
      </c>
      <c r="G22" s="9">
        <v>4.4584382871536521</v>
      </c>
      <c r="H22" s="11">
        <f>VLOOKUP(A22,'Вартість на 08-05-2026'!$A$1:$C$70,3,FALSE)</f>
        <v>127691.08</v>
      </c>
    </row>
    <row r="23" spans="1:8">
      <c r="A23" s="4" t="s">
        <v>22</v>
      </c>
      <c r="B23" s="6">
        <v>253</v>
      </c>
      <c r="C23" s="5">
        <v>1115</v>
      </c>
      <c r="D23" s="5">
        <v>1068</v>
      </c>
      <c r="E23" s="6">
        <v>300</v>
      </c>
      <c r="F23" s="1">
        <v>276.5</v>
      </c>
      <c r="G23" s="9">
        <v>3.8625678119349005</v>
      </c>
      <c r="H23" s="11">
        <f>VLOOKUP(A23,'Вартість на 08-05-2026'!$A$1:$C$70,3,FALSE)</f>
        <v>110583.03999999999</v>
      </c>
    </row>
    <row r="24" spans="1:8">
      <c r="A24" s="4" t="s">
        <v>19</v>
      </c>
      <c r="B24" s="6">
        <v>551</v>
      </c>
      <c r="C24" s="5">
        <v>1215</v>
      </c>
      <c r="D24" s="5">
        <v>1255</v>
      </c>
      <c r="E24" s="6">
        <v>511</v>
      </c>
      <c r="F24" s="1">
        <v>531</v>
      </c>
      <c r="G24" s="9">
        <v>2.3634651600753296</v>
      </c>
      <c r="H24" s="11">
        <f>VLOOKUP(A24,'Вартість на 08-05-2026'!$A$1:$C$70,3,FALSE)</f>
        <v>103437.77</v>
      </c>
    </row>
    <row r="25" spans="1:8">
      <c r="A25" s="4" t="s">
        <v>30</v>
      </c>
      <c r="B25" s="6">
        <v>82.5</v>
      </c>
      <c r="C25" s="6">
        <v>770.25</v>
      </c>
      <c r="D25" s="6">
        <v>752.25</v>
      </c>
      <c r="E25" s="6">
        <v>100.5</v>
      </c>
      <c r="F25" s="1">
        <v>91.5</v>
      </c>
      <c r="G25" s="9">
        <v>8.221311475409836</v>
      </c>
      <c r="H25" s="11">
        <f>VLOOKUP(A25,'Вартість на 08-05-2026'!$A$1:$C$70,3,FALSE)</f>
        <v>102567.31</v>
      </c>
    </row>
    <row r="26" spans="1:8">
      <c r="A26" s="4" t="s">
        <v>7</v>
      </c>
      <c r="B26" s="6">
        <v>86</v>
      </c>
      <c r="C26" s="6">
        <v>943</v>
      </c>
      <c r="D26" s="6">
        <v>827</v>
      </c>
      <c r="E26" s="6">
        <v>202</v>
      </c>
      <c r="F26" s="1">
        <v>144</v>
      </c>
      <c r="G26" s="9">
        <v>5.7430555555555554</v>
      </c>
      <c r="H26" s="11">
        <f>VLOOKUP(A26,'Вартість на 08-05-2026'!$A$1:$C$70,3,FALSE)</f>
        <v>94418.89</v>
      </c>
    </row>
    <row r="27" spans="1:8">
      <c r="A27" s="4" t="s">
        <v>34</v>
      </c>
      <c r="B27" s="5">
        <v>2106</v>
      </c>
      <c r="C27" s="5">
        <v>5276</v>
      </c>
      <c r="D27" s="5">
        <v>5183</v>
      </c>
      <c r="E27" s="5">
        <v>2199</v>
      </c>
      <c r="F27" s="1">
        <v>2152.5</v>
      </c>
      <c r="G27" s="9">
        <v>2.4078977932636469</v>
      </c>
      <c r="H27" s="11">
        <f>VLOOKUP(A27,'Вартість на 08-05-2026'!$A$1:$C$70,3,FALSE)</f>
        <v>89622.95</v>
      </c>
    </row>
    <row r="28" spans="1:8">
      <c r="A28" s="4" t="s">
        <v>36</v>
      </c>
      <c r="B28" s="6">
        <v>269</v>
      </c>
      <c r="C28" s="5">
        <v>1017</v>
      </c>
      <c r="D28" s="5">
        <v>1036</v>
      </c>
      <c r="E28" s="6">
        <v>250</v>
      </c>
      <c r="F28" s="1">
        <v>259.5</v>
      </c>
      <c r="G28" s="9">
        <v>3.9922928709055876</v>
      </c>
      <c r="H28" s="11">
        <f>VLOOKUP(A28,'Вартість на 08-05-2026'!$A$1:$C$70,3,FALSE)</f>
        <v>85941.97</v>
      </c>
    </row>
    <row r="29" spans="1:8">
      <c r="A29" s="4" t="s">
        <v>31</v>
      </c>
      <c r="B29" s="5">
        <v>2125</v>
      </c>
      <c r="C29" s="5">
        <v>18966</v>
      </c>
      <c r="D29" s="5">
        <v>18345</v>
      </c>
      <c r="E29" s="5">
        <v>2746</v>
      </c>
      <c r="F29" s="1">
        <v>2435.5</v>
      </c>
      <c r="G29" s="9">
        <v>7.5323342229521657</v>
      </c>
      <c r="H29" s="11">
        <f>VLOOKUP(A29,'Вартість на 08-05-2026'!$A$1:$C$70,3,FALSE)</f>
        <v>74797.56</v>
      </c>
    </row>
    <row r="30" spans="1:8">
      <c r="A30" s="4" t="s">
        <v>5</v>
      </c>
      <c r="B30" s="6">
        <v>14</v>
      </c>
      <c r="C30" s="6">
        <v>70</v>
      </c>
      <c r="D30" s="6">
        <v>46</v>
      </c>
      <c r="E30" s="6">
        <v>38</v>
      </c>
      <c r="F30" s="1">
        <v>26</v>
      </c>
      <c r="G30" s="9">
        <v>1.7692307692307692</v>
      </c>
      <c r="H30" s="11">
        <f>VLOOKUP(A30,'Вартість на 08-05-2026'!$A$1:$C$70,3,FALSE)</f>
        <v>71940.11</v>
      </c>
    </row>
    <row r="31" spans="1:8">
      <c r="A31" s="4" t="s">
        <v>74</v>
      </c>
      <c r="B31" s="6">
        <v>171</v>
      </c>
      <c r="C31" s="6">
        <v>212</v>
      </c>
      <c r="D31" s="6">
        <v>261</v>
      </c>
      <c r="E31" s="6">
        <v>122</v>
      </c>
      <c r="F31" s="1">
        <v>146.5</v>
      </c>
      <c r="G31" s="9">
        <v>1.7815699658703072</v>
      </c>
      <c r="H31" s="11">
        <f>VLOOKUP(A31,'Вартість на 08-05-2026'!$A$1:$C$70,3,FALSE)</f>
        <v>69756.87</v>
      </c>
    </row>
    <row r="32" spans="1:8">
      <c r="A32" s="4" t="s">
        <v>54</v>
      </c>
      <c r="B32" s="5">
        <v>9539</v>
      </c>
      <c r="C32" s="5">
        <v>20355</v>
      </c>
      <c r="D32" s="5">
        <v>20969</v>
      </c>
      <c r="E32" s="5">
        <v>8925</v>
      </c>
      <c r="F32" s="1">
        <v>9232</v>
      </c>
      <c r="G32" s="9">
        <v>2.2713388214904677</v>
      </c>
      <c r="H32" s="11">
        <f>VLOOKUP(A32,'Вартість на 08-05-2026'!$A$1:$C$70,3,FALSE)</f>
        <v>65548.11</v>
      </c>
    </row>
    <row r="33" spans="1:8">
      <c r="A33" s="4" t="s">
        <v>62</v>
      </c>
      <c r="B33" s="5">
        <v>1001</v>
      </c>
      <c r="C33" s="5">
        <v>2721</v>
      </c>
      <c r="D33" s="5">
        <v>2499</v>
      </c>
      <c r="E33" s="5">
        <v>1223</v>
      </c>
      <c r="F33" s="1">
        <v>1112</v>
      </c>
      <c r="G33" s="9">
        <v>2.2473021582733814</v>
      </c>
      <c r="H33" s="11">
        <f>VLOOKUP(A33,'Вартість на 08-05-2026'!$A$1:$C$70,3,FALSE)</f>
        <v>57994.28</v>
      </c>
    </row>
    <row r="34" spans="1:8">
      <c r="A34" s="4" t="s">
        <v>10</v>
      </c>
      <c r="B34" s="6">
        <v>211</v>
      </c>
      <c r="C34" s="6">
        <v>7</v>
      </c>
      <c r="D34" s="6">
        <v>80</v>
      </c>
      <c r="E34" s="6">
        <v>138</v>
      </c>
      <c r="F34" s="1">
        <v>174.5</v>
      </c>
      <c r="G34" s="9">
        <v>0.45845272206303728</v>
      </c>
      <c r="H34" s="11">
        <f>VLOOKUP(A34,'Вартість на 08-05-2026'!$A$1:$C$70,3,FALSE)</f>
        <v>53189.9</v>
      </c>
    </row>
    <row r="35" spans="1:8">
      <c r="A35" s="4" t="s">
        <v>51</v>
      </c>
      <c r="B35" s="6">
        <v>239</v>
      </c>
      <c r="C35" s="6">
        <v>164</v>
      </c>
      <c r="D35" s="6">
        <v>216</v>
      </c>
      <c r="E35" s="6">
        <v>187</v>
      </c>
      <c r="F35" s="1">
        <v>213</v>
      </c>
      <c r="G35" s="9">
        <v>1.0140845070422535</v>
      </c>
      <c r="H35" s="11">
        <f>VLOOKUP(A35,'Вартість на 08-05-2026'!$A$1:$C$70,3,FALSE)</f>
        <v>50526.26</v>
      </c>
    </row>
    <row r="36" spans="1:8">
      <c r="A36" s="4" t="s">
        <v>55</v>
      </c>
      <c r="B36" s="6">
        <v>123</v>
      </c>
      <c r="C36" s="6">
        <v>233</v>
      </c>
      <c r="D36" s="6">
        <v>229</v>
      </c>
      <c r="E36" s="6">
        <v>127</v>
      </c>
      <c r="F36" s="1">
        <v>125</v>
      </c>
      <c r="G36" s="9">
        <v>1.8320000000000001</v>
      </c>
      <c r="H36" s="11">
        <f>VLOOKUP(A36,'Вартість на 08-05-2026'!$A$1:$C$70,3,FALSE)</f>
        <v>46582.46</v>
      </c>
    </row>
    <row r="37" spans="1:8">
      <c r="A37" s="4" t="s">
        <v>3</v>
      </c>
      <c r="B37" s="6">
        <v>15</v>
      </c>
      <c r="C37" s="6">
        <v>53</v>
      </c>
      <c r="D37" s="6">
        <v>48</v>
      </c>
      <c r="E37" s="6">
        <v>20</v>
      </c>
      <c r="F37" s="1">
        <v>17.5</v>
      </c>
      <c r="G37" s="9">
        <v>2.7428571428571429</v>
      </c>
      <c r="H37" s="11">
        <f>VLOOKUP(A37,'Вартість на 08-05-2026'!$A$1:$C$70,3,FALSE)</f>
        <v>42280.4</v>
      </c>
    </row>
    <row r="38" spans="1:8">
      <c r="A38" s="4" t="s">
        <v>40</v>
      </c>
      <c r="B38" s="6">
        <v>42</v>
      </c>
      <c r="C38" s="6">
        <v>247</v>
      </c>
      <c r="D38" s="6">
        <v>240</v>
      </c>
      <c r="E38" s="6">
        <v>49</v>
      </c>
      <c r="F38" s="1">
        <v>45.5</v>
      </c>
      <c r="G38" s="9">
        <v>5.2747252747252746</v>
      </c>
      <c r="H38" s="11">
        <f>VLOOKUP(A38,'Вартість на 08-05-2026'!$A$1:$C$70,3,FALSE)</f>
        <v>41598.61</v>
      </c>
    </row>
    <row r="39" spans="1:8">
      <c r="A39" s="4" t="s">
        <v>39</v>
      </c>
      <c r="B39" s="6">
        <v>16</v>
      </c>
      <c r="C39" s="6">
        <v>44</v>
      </c>
      <c r="D39" s="6">
        <v>46</v>
      </c>
      <c r="E39" s="6">
        <v>14</v>
      </c>
      <c r="F39" s="1">
        <v>15</v>
      </c>
      <c r="G39" s="9">
        <v>3.0666666666666669</v>
      </c>
      <c r="H39" s="11">
        <f>VLOOKUP(A39,'Вартість на 08-05-2026'!$A$1:$C$70,3,FALSE)</f>
        <v>40880.199999999997</v>
      </c>
    </row>
    <row r="40" spans="1:8">
      <c r="A40" s="4" t="s">
        <v>32</v>
      </c>
      <c r="B40" s="6">
        <v>37</v>
      </c>
      <c r="C40" s="6">
        <v>113</v>
      </c>
      <c r="D40" s="6">
        <v>116</v>
      </c>
      <c r="E40" s="6">
        <v>34</v>
      </c>
      <c r="F40" s="1">
        <v>35.5</v>
      </c>
      <c r="G40" s="9">
        <v>3.267605633802817</v>
      </c>
      <c r="H40" s="11">
        <f>VLOOKUP(A40,'Вартість на 08-05-2026'!$A$1:$C$70,3,FALSE)</f>
        <v>37643.699999999997</v>
      </c>
    </row>
    <row r="41" spans="1:8" ht="22.5">
      <c r="A41" s="4" t="s">
        <v>57</v>
      </c>
      <c r="B41" s="5">
        <v>2731</v>
      </c>
      <c r="C41" s="5">
        <v>3613</v>
      </c>
      <c r="D41" s="5">
        <v>4392</v>
      </c>
      <c r="E41" s="5">
        <v>1952</v>
      </c>
      <c r="F41" s="1">
        <v>2341.5</v>
      </c>
      <c r="G41" s="9">
        <v>1.8757206918641895</v>
      </c>
      <c r="H41" s="11">
        <f>VLOOKUP(A41,'Вартість на 08-05-2026'!$A$1:$C$70,3,FALSE)</f>
        <v>37365.129999999997</v>
      </c>
    </row>
    <row r="42" spans="1:8">
      <c r="A42" s="4" t="s">
        <v>68</v>
      </c>
      <c r="B42" s="6">
        <v>54</v>
      </c>
      <c r="C42" s="6">
        <v>213</v>
      </c>
      <c r="D42" s="6">
        <v>218</v>
      </c>
      <c r="E42" s="6">
        <v>49</v>
      </c>
      <c r="F42" s="1">
        <v>51.5</v>
      </c>
      <c r="G42" s="9">
        <v>4.233009708737864</v>
      </c>
      <c r="H42" s="11">
        <f>VLOOKUP(A42,'Вартість на 08-05-2026'!$A$1:$C$70,3,FALSE)</f>
        <v>33984.269999999997</v>
      </c>
    </row>
    <row r="43" spans="1:8">
      <c r="A43" s="4" t="s">
        <v>27</v>
      </c>
      <c r="B43" s="6">
        <v>785</v>
      </c>
      <c r="C43" s="5">
        <v>5188</v>
      </c>
      <c r="D43" s="5">
        <v>5961</v>
      </c>
      <c r="E43" s="6">
        <v>12</v>
      </c>
      <c r="F43" s="1">
        <v>398.5</v>
      </c>
      <c r="G43" s="9">
        <v>14.958594730238394</v>
      </c>
      <c r="H43" s="11">
        <f>VLOOKUP(A43,'Вартість на 08-05-2026'!$A$1:$C$70,3,FALSE)</f>
        <v>29146</v>
      </c>
    </row>
    <row r="44" spans="1:8">
      <c r="A44" s="4" t="s">
        <v>73</v>
      </c>
      <c r="B44" s="5">
        <v>28692</v>
      </c>
      <c r="C44" s="5">
        <v>159180</v>
      </c>
      <c r="D44" s="5">
        <v>153951</v>
      </c>
      <c r="E44" s="5">
        <v>33921</v>
      </c>
      <c r="F44" s="1">
        <v>31306.5</v>
      </c>
      <c r="G44" s="9">
        <v>4.9175410857170236</v>
      </c>
      <c r="H44" s="11">
        <f>VLOOKUP(A44,'Вартість на 08-05-2026'!$A$1:$C$70,3,FALSE)</f>
        <v>28068.77</v>
      </c>
    </row>
    <row r="45" spans="1:8">
      <c r="A45" s="4" t="s">
        <v>18</v>
      </c>
      <c r="B45" s="5">
        <v>1385</v>
      </c>
      <c r="C45" s="5">
        <v>2890</v>
      </c>
      <c r="D45" s="5">
        <v>3464</v>
      </c>
      <c r="E45" s="6">
        <v>811</v>
      </c>
      <c r="F45" s="1">
        <v>1098</v>
      </c>
      <c r="G45" s="9">
        <v>3.1548269581056467</v>
      </c>
      <c r="H45" s="11">
        <f>VLOOKUP(A45,'Вартість на 08-05-2026'!$A$1:$C$70,3,FALSE)</f>
        <v>25581.31</v>
      </c>
    </row>
    <row r="46" spans="1:8">
      <c r="A46" s="4" t="s">
        <v>53</v>
      </c>
      <c r="B46" s="6">
        <v>275</v>
      </c>
      <c r="C46" s="5">
        <v>1729</v>
      </c>
      <c r="D46" s="5">
        <v>1714</v>
      </c>
      <c r="E46" s="6">
        <v>290</v>
      </c>
      <c r="F46" s="1">
        <v>282.5</v>
      </c>
      <c r="G46" s="9">
        <v>6.0672566371681418</v>
      </c>
      <c r="H46" s="11">
        <f>VLOOKUP(A46,'Вартість на 08-05-2026'!$A$1:$C$70,3,FALSE)</f>
        <v>24911.14</v>
      </c>
    </row>
    <row r="47" spans="1:8">
      <c r="A47" s="4" t="s">
        <v>35</v>
      </c>
      <c r="B47" s="5">
        <v>2811</v>
      </c>
      <c r="C47" s="5">
        <v>3725</v>
      </c>
      <c r="D47" s="5">
        <v>3669</v>
      </c>
      <c r="E47" s="5">
        <v>2867</v>
      </c>
      <c r="F47" s="1">
        <v>2839</v>
      </c>
      <c r="G47" s="9">
        <v>1.2923564635435012</v>
      </c>
      <c r="H47" s="11">
        <f>VLOOKUP(A47,'Вартість на 08-05-2026'!$A$1:$C$70,3,FALSE)</f>
        <v>24755.67</v>
      </c>
    </row>
    <row r="48" spans="1:8">
      <c r="A48" s="4" t="s">
        <v>65</v>
      </c>
      <c r="B48" s="6">
        <v>893</v>
      </c>
      <c r="C48" s="5">
        <v>1586</v>
      </c>
      <c r="D48" s="5">
        <v>1659</v>
      </c>
      <c r="E48" s="6">
        <v>820</v>
      </c>
      <c r="F48" s="1">
        <v>856.5</v>
      </c>
      <c r="G48" s="9">
        <v>1.936952714535902</v>
      </c>
      <c r="H48" s="11">
        <f>VLOOKUP(A48,'Вартість на 08-05-2026'!$A$1:$C$70,3,FALSE)</f>
        <v>22302.62</v>
      </c>
    </row>
    <row r="49" spans="1:8">
      <c r="A49" s="4" t="s">
        <v>33</v>
      </c>
      <c r="B49" s="6">
        <v>30</v>
      </c>
      <c r="C49" s="6">
        <v>75</v>
      </c>
      <c r="D49" s="6">
        <v>66</v>
      </c>
      <c r="E49" s="6">
        <v>39</v>
      </c>
      <c r="F49" s="1">
        <v>34.5</v>
      </c>
      <c r="G49" s="9">
        <v>1.9130434782608696</v>
      </c>
      <c r="H49" s="11">
        <f>VLOOKUP(A49,'Вартість на 08-05-2026'!$A$1:$C$70,3,FALSE)</f>
        <v>21005.599999999999</v>
      </c>
    </row>
    <row r="50" spans="1:8">
      <c r="A50" s="4" t="s">
        <v>29</v>
      </c>
      <c r="B50" s="6">
        <v>86</v>
      </c>
      <c r="C50" s="7"/>
      <c r="D50" s="6">
        <v>2</v>
      </c>
      <c r="E50" s="6">
        <v>84</v>
      </c>
      <c r="F50" s="1">
        <v>85</v>
      </c>
      <c r="G50" s="9">
        <v>2.3529411764705882E-2</v>
      </c>
      <c r="H50" s="11">
        <f>VLOOKUP(A50,'Вартість на 08-05-2026'!$A$1:$C$70,3,FALSE)</f>
        <v>19905.310000000001</v>
      </c>
    </row>
    <row r="51" spans="1:8">
      <c r="A51" s="4" t="s">
        <v>61</v>
      </c>
      <c r="B51" s="6">
        <v>189</v>
      </c>
      <c r="C51" s="6">
        <v>724</v>
      </c>
      <c r="D51" s="6">
        <v>731</v>
      </c>
      <c r="E51" s="6">
        <v>182</v>
      </c>
      <c r="F51" s="1">
        <v>185.5</v>
      </c>
      <c r="G51" s="9">
        <v>3.940700808625337</v>
      </c>
      <c r="H51" s="11">
        <f>VLOOKUP(A51,'Вартість на 08-05-2026'!$A$1:$C$70,3,FALSE)</f>
        <v>18829.34</v>
      </c>
    </row>
    <row r="52" spans="1:8">
      <c r="A52" s="4" t="s">
        <v>63</v>
      </c>
      <c r="B52" s="6">
        <v>17</v>
      </c>
      <c r="C52" s="6">
        <v>33</v>
      </c>
      <c r="D52" s="6">
        <v>33</v>
      </c>
      <c r="E52" s="6">
        <v>17</v>
      </c>
      <c r="F52" s="1">
        <v>17</v>
      </c>
      <c r="G52" s="9">
        <v>1.9411764705882353</v>
      </c>
      <c r="H52" s="11">
        <f>VLOOKUP(A52,'Вартість на 08-05-2026'!$A$1:$C$70,3,FALSE)</f>
        <v>18180.28</v>
      </c>
    </row>
    <row r="53" spans="1:8">
      <c r="A53" s="4" t="s">
        <v>38</v>
      </c>
      <c r="B53" s="6">
        <v>86</v>
      </c>
      <c r="C53" s="6">
        <v>255</v>
      </c>
      <c r="D53" s="6">
        <v>278</v>
      </c>
      <c r="E53" s="6">
        <v>63</v>
      </c>
      <c r="F53" s="1">
        <v>74.5</v>
      </c>
      <c r="G53" s="9">
        <v>3.7315436241610738</v>
      </c>
      <c r="H53" s="11">
        <f>VLOOKUP(A53,'Вартість на 08-05-2026'!$A$1:$C$70,3,FALSE)</f>
        <v>16599.98</v>
      </c>
    </row>
    <row r="54" spans="1:8">
      <c r="A54" s="4" t="s">
        <v>21</v>
      </c>
      <c r="B54" s="6">
        <v>209</v>
      </c>
      <c r="C54" s="5">
        <v>1759.5</v>
      </c>
      <c r="D54" s="5">
        <v>1722.5</v>
      </c>
      <c r="E54" s="6">
        <v>246</v>
      </c>
      <c r="F54" s="1">
        <v>227.5</v>
      </c>
      <c r="G54" s="9">
        <v>7.5714285714285712</v>
      </c>
      <c r="H54" s="11">
        <f>VLOOKUP(A54,'Вартість на 08-05-2026'!$A$1:$C$70,3,FALSE)</f>
        <v>16395.64</v>
      </c>
    </row>
    <row r="55" spans="1:8">
      <c r="A55" s="4" t="s">
        <v>71</v>
      </c>
      <c r="B55" s="6">
        <v>211.4</v>
      </c>
      <c r="C55" s="6">
        <v>71</v>
      </c>
      <c r="D55" s="6">
        <v>63</v>
      </c>
      <c r="E55" s="6">
        <v>219.4</v>
      </c>
      <c r="F55" s="1">
        <v>215.4</v>
      </c>
      <c r="G55" s="9">
        <v>0.29247910863509746</v>
      </c>
      <c r="H55" s="11">
        <f>VLOOKUP(A55,'Вартість на 08-05-2026'!$A$1:$C$70,3,FALSE)</f>
        <v>14360.13</v>
      </c>
    </row>
    <row r="56" spans="1:8">
      <c r="A56" s="4" t="s">
        <v>17</v>
      </c>
      <c r="B56" s="6">
        <v>1</v>
      </c>
      <c r="C56" s="6">
        <v>22</v>
      </c>
      <c r="D56" s="6">
        <v>18</v>
      </c>
      <c r="E56" s="6">
        <v>5</v>
      </c>
      <c r="F56" s="1">
        <v>3</v>
      </c>
      <c r="G56" s="9">
        <v>6</v>
      </c>
      <c r="H56" s="11">
        <f>VLOOKUP(A56,'Вартість на 08-05-2026'!$A$1:$C$70,3,FALSE)</f>
        <v>13741.96</v>
      </c>
    </row>
    <row r="57" spans="1:8">
      <c r="A57" s="4" t="s">
        <v>69</v>
      </c>
      <c r="B57" s="6">
        <v>18</v>
      </c>
      <c r="C57" s="6">
        <v>6</v>
      </c>
      <c r="D57" s="6">
        <v>4</v>
      </c>
      <c r="E57" s="6">
        <v>20</v>
      </c>
      <c r="F57" s="1">
        <v>19</v>
      </c>
      <c r="G57" s="9">
        <v>0.21052631578947367</v>
      </c>
      <c r="H57" s="11">
        <f>VLOOKUP(A57,'Вартість на 08-05-2026'!$A$1:$C$70,3,FALSE)</f>
        <v>11490.86</v>
      </c>
    </row>
    <row r="58" spans="1:8">
      <c r="A58" s="4" t="s">
        <v>50</v>
      </c>
      <c r="B58" s="6">
        <v>165</v>
      </c>
      <c r="C58" s="7"/>
      <c r="D58" s="6">
        <v>3</v>
      </c>
      <c r="E58" s="6">
        <v>162</v>
      </c>
      <c r="F58" s="1">
        <v>163.5</v>
      </c>
      <c r="G58" s="9">
        <v>1.834862385321101E-2</v>
      </c>
      <c r="H58" s="11">
        <f>VLOOKUP(A58,'Вартість на 08-05-2026'!$A$1:$C$70,3,FALSE)</f>
        <v>8646.0499999999993</v>
      </c>
    </row>
    <row r="59" spans="1:8">
      <c r="A59" s="4" t="s">
        <v>11</v>
      </c>
      <c r="B59" s="10">
        <v>1</v>
      </c>
      <c r="C59" s="6">
        <v>11</v>
      </c>
      <c r="D59" s="6">
        <v>11</v>
      </c>
      <c r="E59" s="10">
        <v>1</v>
      </c>
      <c r="F59" s="1">
        <v>1</v>
      </c>
      <c r="G59" s="9">
        <v>11</v>
      </c>
      <c r="H59" s="11">
        <f>VLOOKUP(A59,'Вартість на 08-05-2026'!$A$1:$C$70,3,FALSE)</f>
        <v>6668.91</v>
      </c>
    </row>
    <row r="60" spans="1:8">
      <c r="A60" s="4" t="s">
        <v>66</v>
      </c>
      <c r="B60" s="6">
        <v>24</v>
      </c>
      <c r="C60" s="6">
        <v>61</v>
      </c>
      <c r="D60" s="6">
        <v>72</v>
      </c>
      <c r="E60" s="6">
        <v>13</v>
      </c>
      <c r="F60" s="1">
        <v>18.5</v>
      </c>
      <c r="G60" s="9">
        <v>3.8918918918918921</v>
      </c>
      <c r="H60" s="11">
        <f>VLOOKUP(A60,'Вартість на 08-05-2026'!$A$1:$C$70,3,FALSE)</f>
        <v>6485.14</v>
      </c>
    </row>
    <row r="61" spans="1:8">
      <c r="A61" s="4" t="s">
        <v>9</v>
      </c>
      <c r="B61" s="6">
        <v>24</v>
      </c>
      <c r="C61" s="6">
        <v>151</v>
      </c>
      <c r="D61" s="6">
        <v>146</v>
      </c>
      <c r="E61" s="6">
        <v>29</v>
      </c>
      <c r="F61" s="1">
        <v>26.5</v>
      </c>
      <c r="G61" s="9">
        <v>5.5094339622641506</v>
      </c>
      <c r="H61" s="11">
        <f>VLOOKUP(A61,'Вартість на 08-05-2026'!$A$1:$C$70,3,FALSE)</f>
        <v>6263.86</v>
      </c>
    </row>
    <row r="62" spans="1:8">
      <c r="A62" s="4" t="s">
        <v>60</v>
      </c>
      <c r="B62" s="6">
        <v>3</v>
      </c>
      <c r="C62" s="7"/>
      <c r="D62" s="7"/>
      <c r="E62" s="6">
        <v>3</v>
      </c>
      <c r="F62" s="1">
        <v>3</v>
      </c>
      <c r="G62" s="9">
        <v>0</v>
      </c>
      <c r="H62" s="11">
        <f>VLOOKUP(A62,'Вартість на 08-05-2026'!$A$1:$C$70,3,FALSE)</f>
        <v>5638.62</v>
      </c>
    </row>
    <row r="63" spans="1:8">
      <c r="A63" s="4" t="s">
        <v>59</v>
      </c>
      <c r="B63" s="6">
        <v>32</v>
      </c>
      <c r="C63" s="6">
        <v>43</v>
      </c>
      <c r="D63" s="6">
        <v>39</v>
      </c>
      <c r="E63" s="6">
        <v>36</v>
      </c>
      <c r="F63" s="1">
        <v>34</v>
      </c>
      <c r="G63" s="9">
        <v>1.1470588235294117</v>
      </c>
      <c r="H63" s="11">
        <f>VLOOKUP(A63,'Вартість на 08-05-2026'!$A$1:$C$70,3,FALSE)</f>
        <v>3382.12</v>
      </c>
    </row>
    <row r="64" spans="1:8">
      <c r="A64" s="4" t="s">
        <v>20</v>
      </c>
      <c r="B64" s="6">
        <v>4</v>
      </c>
      <c r="C64" s="6">
        <v>8</v>
      </c>
      <c r="D64" s="6">
        <v>9</v>
      </c>
      <c r="E64" s="6">
        <v>3</v>
      </c>
      <c r="F64" s="1">
        <v>3.5</v>
      </c>
      <c r="G64" s="9">
        <v>2.5714285714285716</v>
      </c>
      <c r="H64" s="11">
        <f>VLOOKUP(A64,'Вартість на 08-05-2026'!$A$1:$C$70,3,FALSE)</f>
        <v>2758</v>
      </c>
    </row>
    <row r="65" spans="1:8">
      <c r="A65" s="4" t="s">
        <v>56</v>
      </c>
      <c r="B65" s="6">
        <v>217</v>
      </c>
      <c r="C65" s="6">
        <v>590</v>
      </c>
      <c r="D65" s="6">
        <v>396</v>
      </c>
      <c r="E65" s="6">
        <v>411</v>
      </c>
      <c r="F65" s="1">
        <v>314</v>
      </c>
      <c r="G65" s="9">
        <v>1.2611464968152866</v>
      </c>
      <c r="H65" s="11">
        <f>VLOOKUP(A65,'Вартість на 08-05-2026'!$A$1:$C$70,3,FALSE)</f>
        <v>1691.71</v>
      </c>
    </row>
    <row r="66" spans="1:8">
      <c r="A66" s="4" t="s">
        <v>49</v>
      </c>
      <c r="B66" s="6">
        <v>4</v>
      </c>
      <c r="C66" s="7"/>
      <c r="D66" s="7"/>
      <c r="E66" s="6">
        <v>4</v>
      </c>
      <c r="F66" s="1">
        <v>4</v>
      </c>
      <c r="G66" s="9">
        <v>0</v>
      </c>
      <c r="H66" s="11">
        <f>VLOOKUP(A66,'Вартість на 08-05-2026'!$A$1:$C$70,3,FALSE)</f>
        <v>780</v>
      </c>
    </row>
    <row r="67" spans="1:8">
      <c r="A67" s="4" t="s">
        <v>72</v>
      </c>
      <c r="B67" s="6">
        <v>31</v>
      </c>
      <c r="C67" s="7"/>
      <c r="D67" s="6">
        <v>9</v>
      </c>
      <c r="E67" s="6">
        <v>22</v>
      </c>
      <c r="F67" s="1">
        <v>26.5</v>
      </c>
      <c r="G67" s="9">
        <v>0.33962264150943394</v>
      </c>
      <c r="H67" s="11">
        <f>VLOOKUP(A67,'Вартість на 08-05-2026'!$A$1:$C$70,3,FALSE)</f>
        <v>328.63</v>
      </c>
    </row>
    <row r="68" spans="1:8">
      <c r="A68" s="4" t="s">
        <v>64</v>
      </c>
      <c r="B68" s="6">
        <v>1</v>
      </c>
      <c r="C68" s="7"/>
      <c r="D68" s="7"/>
      <c r="E68" s="6">
        <v>1</v>
      </c>
      <c r="F68" s="1">
        <v>1</v>
      </c>
      <c r="G68" s="9">
        <v>0</v>
      </c>
      <c r="H68" s="11">
        <f>VLOOKUP(A68,'Вартість на 08-05-2026'!$A$1:$C$70,3,FALSE)</f>
        <v>212.77</v>
      </c>
    </row>
    <row r="69" spans="1:8">
      <c r="A69" s="4" t="s">
        <v>48</v>
      </c>
      <c r="B69" s="6">
        <v>29</v>
      </c>
      <c r="C69" s="6">
        <v>4</v>
      </c>
      <c r="D69" s="6">
        <v>27</v>
      </c>
      <c r="E69" s="6">
        <v>6</v>
      </c>
      <c r="F69" s="1">
        <v>17.5</v>
      </c>
      <c r="G69" s="9">
        <v>1.5428571428571429</v>
      </c>
      <c r="H69" s="11">
        <f>VLOOKUP(A69,'Вартість на 08-05-2026'!$A$1:$C$70,3,FALSE)</f>
        <v>163.59</v>
      </c>
    </row>
    <row r="70" spans="1:8">
      <c r="A70" s="4" t="s">
        <v>37</v>
      </c>
      <c r="B70" s="10">
        <v>1</v>
      </c>
      <c r="C70" s="6">
        <v>3</v>
      </c>
      <c r="D70" s="6">
        <v>3</v>
      </c>
      <c r="E70" s="10">
        <v>1</v>
      </c>
      <c r="F70" s="1">
        <v>1</v>
      </c>
      <c r="G70" s="9">
        <v>3</v>
      </c>
      <c r="H70" s="11">
        <v>0</v>
      </c>
    </row>
    <row r="71" spans="1:8">
      <c r="A71" s="3"/>
      <c r="B71" s="2"/>
      <c r="C71" s="2"/>
      <c r="D71" s="2"/>
      <c r="E71" s="2"/>
      <c r="F71" s="1"/>
      <c r="G71" s="12"/>
      <c r="H71" s="12"/>
    </row>
  </sheetData>
  <sortState ref="A1:H71">
    <sortCondition descending="1" ref="H1:H71"/>
  </sortState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0"/>
  <sheetViews>
    <sheetView workbookViewId="0">
      <pane xSplit="1" ySplit="2" topLeftCell="B39" activePane="bottomRight" state="frozen"/>
      <selection pane="topRight" activeCell="B1" sqref="B1"/>
      <selection pane="bottomLeft" activeCell="A3" sqref="A3"/>
      <selection pane="bottomRight" activeCell="H47" sqref="H47"/>
    </sheetView>
  </sheetViews>
  <sheetFormatPr defaultRowHeight="15"/>
  <cols>
    <col min="1" max="1" width="50.5703125" customWidth="1"/>
    <col min="3" max="3" width="10" bestFit="1" customWidth="1"/>
  </cols>
  <sheetData>
    <row r="1" spans="1:3">
      <c r="A1" s="12" t="s">
        <v>75</v>
      </c>
      <c r="B1" s="12" t="s">
        <v>76</v>
      </c>
      <c r="C1" s="12" t="s">
        <v>77</v>
      </c>
    </row>
    <row r="2" spans="1:3" s="12" customFormat="1"/>
    <row r="3" spans="1:3">
      <c r="A3" s="13" t="s">
        <v>41</v>
      </c>
      <c r="B3" s="16">
        <v>9250.5</v>
      </c>
      <c r="C3" s="17">
        <v>1921801.63</v>
      </c>
    </row>
    <row r="4" spans="1:3">
      <c r="A4" s="15" t="s">
        <v>48</v>
      </c>
      <c r="B4" s="18">
        <v>5</v>
      </c>
      <c r="C4" s="19">
        <v>163.59</v>
      </c>
    </row>
    <row r="5" spans="1:3">
      <c r="A5" s="15" t="s">
        <v>49</v>
      </c>
      <c r="B5" s="18">
        <v>4</v>
      </c>
      <c r="C5" s="19">
        <v>780</v>
      </c>
    </row>
    <row r="6" spans="1:3">
      <c r="A6" s="15" t="s">
        <v>50</v>
      </c>
      <c r="B6" s="18">
        <v>162</v>
      </c>
      <c r="C6" s="17">
        <v>8646.0499999999993</v>
      </c>
    </row>
    <row r="7" spans="1:3">
      <c r="A7" s="15" t="s">
        <v>51</v>
      </c>
      <c r="B7" s="18">
        <v>176</v>
      </c>
      <c r="C7" s="17">
        <v>50526.26</v>
      </c>
    </row>
    <row r="8" spans="1:3">
      <c r="A8" s="15" t="s">
        <v>9</v>
      </c>
      <c r="B8" s="18">
        <v>30</v>
      </c>
      <c r="C8" s="17">
        <v>6263.86</v>
      </c>
    </row>
    <row r="9" spans="1:3">
      <c r="A9" s="15" t="s">
        <v>36</v>
      </c>
      <c r="B9" s="18">
        <v>250</v>
      </c>
      <c r="C9" s="17">
        <v>85941.97</v>
      </c>
    </row>
    <row r="10" spans="1:3">
      <c r="A10" s="15" t="s">
        <v>10</v>
      </c>
      <c r="B10" s="18">
        <v>129</v>
      </c>
      <c r="C10" s="17">
        <v>53189.9</v>
      </c>
    </row>
    <row r="11" spans="1:3">
      <c r="A11" s="15" t="s">
        <v>7</v>
      </c>
      <c r="B11" s="18">
        <v>212</v>
      </c>
      <c r="C11" s="17">
        <v>94418.89</v>
      </c>
    </row>
    <row r="12" spans="1:3">
      <c r="A12" s="15" t="s">
        <v>52</v>
      </c>
      <c r="B12" s="18">
        <v>46</v>
      </c>
      <c r="C12" s="17">
        <v>142885.1</v>
      </c>
    </row>
    <row r="13" spans="1:3">
      <c r="A13" s="15" t="s">
        <v>11</v>
      </c>
      <c r="B13" s="18">
        <v>7</v>
      </c>
      <c r="C13" s="17">
        <v>6668.91</v>
      </c>
    </row>
    <row r="14" spans="1:3">
      <c r="A14" s="15" t="s">
        <v>12</v>
      </c>
      <c r="B14" s="16">
        <v>1454</v>
      </c>
      <c r="C14" s="17">
        <v>163192.44</v>
      </c>
    </row>
    <row r="15" spans="1:3">
      <c r="A15" s="15" t="s">
        <v>53</v>
      </c>
      <c r="B15" s="18">
        <v>263</v>
      </c>
      <c r="C15" s="17">
        <v>24911.14</v>
      </c>
    </row>
    <row r="16" spans="1:3">
      <c r="A16" s="15" t="s">
        <v>54</v>
      </c>
      <c r="B16" s="16">
        <v>9033</v>
      </c>
      <c r="C16" s="17">
        <v>65548.11</v>
      </c>
    </row>
    <row r="17" spans="1:3">
      <c r="A17" s="15" t="s">
        <v>55</v>
      </c>
      <c r="B17" s="18">
        <v>141</v>
      </c>
      <c r="C17" s="17">
        <v>46582.46</v>
      </c>
    </row>
    <row r="18" spans="1:3">
      <c r="A18" s="15" t="s">
        <v>56</v>
      </c>
      <c r="B18" s="18">
        <v>383</v>
      </c>
      <c r="C18" s="17">
        <v>1691.71</v>
      </c>
    </row>
    <row r="19" spans="1:3">
      <c r="A19" s="15" t="s">
        <v>0</v>
      </c>
      <c r="B19" s="18">
        <v>295</v>
      </c>
      <c r="C19" s="17">
        <v>178853.27</v>
      </c>
    </row>
    <row r="20" spans="1:3" ht="22.5">
      <c r="A20" s="15" t="s">
        <v>57</v>
      </c>
      <c r="B20" s="16">
        <v>2017</v>
      </c>
      <c r="C20" s="17">
        <v>37365.129999999997</v>
      </c>
    </row>
    <row r="21" spans="1:3">
      <c r="A21" s="15" t="s">
        <v>13</v>
      </c>
      <c r="B21" s="18">
        <v>39</v>
      </c>
      <c r="C21" s="17">
        <v>229555.46</v>
      </c>
    </row>
    <row r="22" spans="1:3">
      <c r="A22" s="15" t="s">
        <v>58</v>
      </c>
      <c r="B22" s="16">
        <v>2032</v>
      </c>
      <c r="C22" s="17">
        <v>215405.07</v>
      </c>
    </row>
    <row r="23" spans="1:3">
      <c r="A23" s="15" t="s">
        <v>14</v>
      </c>
      <c r="B23" s="16">
        <v>1594</v>
      </c>
      <c r="C23" s="17">
        <v>407728.18</v>
      </c>
    </row>
    <row r="24" spans="1:3">
      <c r="A24" s="15" t="s">
        <v>15</v>
      </c>
      <c r="B24" s="18">
        <v>556</v>
      </c>
      <c r="C24" s="17">
        <v>251518.18</v>
      </c>
    </row>
    <row r="25" spans="1:3">
      <c r="A25" s="15" t="s">
        <v>59</v>
      </c>
      <c r="B25" s="18">
        <v>23</v>
      </c>
      <c r="C25" s="17">
        <v>3382.12</v>
      </c>
    </row>
    <row r="26" spans="1:3">
      <c r="A26" s="15" t="s">
        <v>60</v>
      </c>
      <c r="B26" s="18">
        <v>3</v>
      </c>
      <c r="C26" s="17">
        <v>5638.62</v>
      </c>
    </row>
    <row r="27" spans="1:3">
      <c r="A27" s="15" t="s">
        <v>16</v>
      </c>
      <c r="B27" s="16">
        <v>3628</v>
      </c>
      <c r="C27" s="17">
        <v>242182.7</v>
      </c>
    </row>
    <row r="28" spans="1:3">
      <c r="A28" s="15" t="s">
        <v>5</v>
      </c>
      <c r="B28" s="18">
        <v>22</v>
      </c>
      <c r="C28" s="17">
        <v>71940.11</v>
      </c>
    </row>
    <row r="29" spans="1:3">
      <c r="A29" s="15" t="s">
        <v>17</v>
      </c>
      <c r="B29" s="18">
        <v>5</v>
      </c>
      <c r="C29" s="17">
        <v>13741.96</v>
      </c>
    </row>
    <row r="30" spans="1:3">
      <c r="A30" s="15" t="s">
        <v>61</v>
      </c>
      <c r="B30" s="18">
        <v>417</v>
      </c>
      <c r="C30" s="17">
        <v>18829.34</v>
      </c>
    </row>
    <row r="31" spans="1:3">
      <c r="A31" s="15" t="s">
        <v>2</v>
      </c>
      <c r="B31" s="18">
        <v>108</v>
      </c>
      <c r="C31" s="17">
        <v>800927.38</v>
      </c>
    </row>
    <row r="32" spans="1:3">
      <c r="A32" s="15" t="s">
        <v>18</v>
      </c>
      <c r="B32" s="18">
        <v>917</v>
      </c>
      <c r="C32" s="17">
        <v>25581.31</v>
      </c>
    </row>
    <row r="33" spans="1:3">
      <c r="A33" s="15" t="s">
        <v>62</v>
      </c>
      <c r="B33" s="16">
        <v>1148</v>
      </c>
      <c r="C33" s="17">
        <v>57994.28</v>
      </c>
    </row>
    <row r="34" spans="1:3">
      <c r="A34" s="15" t="s">
        <v>19</v>
      </c>
      <c r="B34" s="18">
        <v>565</v>
      </c>
      <c r="C34" s="17">
        <v>103437.77</v>
      </c>
    </row>
    <row r="35" spans="1:3">
      <c r="A35" s="15" t="s">
        <v>38</v>
      </c>
      <c r="B35" s="18">
        <v>57</v>
      </c>
      <c r="C35" s="17">
        <v>16599.98</v>
      </c>
    </row>
    <row r="36" spans="1:3">
      <c r="A36" s="15" t="s">
        <v>63</v>
      </c>
      <c r="B36" s="18">
        <v>14</v>
      </c>
      <c r="C36" s="17">
        <v>18180.28</v>
      </c>
    </row>
    <row r="37" spans="1:3">
      <c r="A37" s="15" t="s">
        <v>40</v>
      </c>
      <c r="B37" s="18">
        <v>49</v>
      </c>
      <c r="C37" s="17">
        <v>41598.61</v>
      </c>
    </row>
    <row r="38" spans="1:3">
      <c r="A38" s="15" t="s">
        <v>20</v>
      </c>
      <c r="B38" s="18">
        <v>2</v>
      </c>
      <c r="C38" s="17">
        <v>2758</v>
      </c>
    </row>
    <row r="39" spans="1:3">
      <c r="A39" s="15" t="s">
        <v>21</v>
      </c>
      <c r="B39" s="18">
        <v>201</v>
      </c>
      <c r="C39" s="17">
        <v>16395.64</v>
      </c>
    </row>
    <row r="40" spans="1:3">
      <c r="A40" s="15" t="s">
        <v>3</v>
      </c>
      <c r="B40" s="18">
        <v>19</v>
      </c>
      <c r="C40" s="17">
        <v>42280.4</v>
      </c>
    </row>
    <row r="41" spans="1:3">
      <c r="A41" s="15" t="s">
        <v>64</v>
      </c>
      <c r="B41" s="18">
        <v>1</v>
      </c>
      <c r="C41" s="19">
        <v>212.77</v>
      </c>
    </row>
    <row r="42" spans="1:3">
      <c r="A42" s="15" t="s">
        <v>4</v>
      </c>
      <c r="B42" s="18">
        <v>472</v>
      </c>
      <c r="C42" s="17">
        <v>411631.52</v>
      </c>
    </row>
    <row r="43" spans="1:3">
      <c r="A43" s="15" t="s">
        <v>22</v>
      </c>
      <c r="B43" s="18">
        <v>474</v>
      </c>
      <c r="C43" s="17">
        <v>110583.03999999999</v>
      </c>
    </row>
    <row r="44" spans="1:3">
      <c r="A44" s="15" t="s">
        <v>1</v>
      </c>
      <c r="B44" s="16">
        <v>3989</v>
      </c>
      <c r="C44" s="17">
        <v>189029.53</v>
      </c>
    </row>
    <row r="45" spans="1:3">
      <c r="A45" s="15" t="s">
        <v>23</v>
      </c>
      <c r="B45" s="16">
        <v>3173</v>
      </c>
      <c r="C45" s="17">
        <v>195576</v>
      </c>
    </row>
    <row r="46" spans="1:3">
      <c r="A46" s="15" t="s">
        <v>65</v>
      </c>
      <c r="B46" s="18">
        <v>841</v>
      </c>
      <c r="C46" s="17">
        <v>22302.62</v>
      </c>
    </row>
    <row r="47" spans="1:3">
      <c r="A47" s="15" t="s">
        <v>66</v>
      </c>
      <c r="B47" s="18">
        <v>15</v>
      </c>
      <c r="C47" s="17">
        <v>6485.14</v>
      </c>
    </row>
    <row r="48" spans="1:3">
      <c r="A48" s="15" t="s">
        <v>24</v>
      </c>
      <c r="B48" s="16">
        <v>16776</v>
      </c>
      <c r="C48" s="17">
        <v>127691.08</v>
      </c>
    </row>
    <row r="49" spans="1:3">
      <c r="A49" s="15" t="s">
        <v>25</v>
      </c>
      <c r="B49" s="16">
        <v>15345.75</v>
      </c>
      <c r="C49" s="17">
        <v>922407.29</v>
      </c>
    </row>
    <row r="50" spans="1:3">
      <c r="A50" s="15" t="s">
        <v>67</v>
      </c>
      <c r="B50" s="16">
        <v>13782</v>
      </c>
      <c r="C50" s="17">
        <v>505603.11</v>
      </c>
    </row>
    <row r="51" spans="1:3">
      <c r="A51" s="15" t="s">
        <v>68</v>
      </c>
      <c r="B51" s="18">
        <v>77</v>
      </c>
      <c r="C51" s="17">
        <v>33984.269999999997</v>
      </c>
    </row>
    <row r="52" spans="1:3">
      <c r="A52" s="15" t="s">
        <v>26</v>
      </c>
      <c r="B52" s="18">
        <v>768</v>
      </c>
      <c r="C52" s="17">
        <v>395800.4</v>
      </c>
    </row>
    <row r="53" spans="1:3">
      <c r="A53" s="15" t="s">
        <v>27</v>
      </c>
      <c r="B53" s="18">
        <v>17</v>
      </c>
      <c r="C53" s="17">
        <v>29146</v>
      </c>
    </row>
    <row r="54" spans="1:3">
      <c r="A54" s="15" t="s">
        <v>69</v>
      </c>
      <c r="B54" s="18">
        <v>24</v>
      </c>
      <c r="C54" s="17">
        <v>11490.86</v>
      </c>
    </row>
    <row r="55" spans="1:3">
      <c r="A55" s="15" t="s">
        <v>39</v>
      </c>
      <c r="B55" s="18">
        <v>14</v>
      </c>
      <c r="C55" s="17">
        <v>40880.199999999997</v>
      </c>
    </row>
    <row r="56" spans="1:3">
      <c r="A56" s="15" t="s">
        <v>28</v>
      </c>
      <c r="B56" s="18">
        <v>193</v>
      </c>
      <c r="C56" s="17">
        <v>579548.87</v>
      </c>
    </row>
    <row r="57" spans="1:3">
      <c r="A57" s="15" t="s">
        <v>70</v>
      </c>
      <c r="B57" s="18">
        <v>916</v>
      </c>
      <c r="C57" s="17">
        <v>239264.89</v>
      </c>
    </row>
    <row r="58" spans="1:3">
      <c r="A58" s="15" t="s">
        <v>71</v>
      </c>
      <c r="B58" s="18">
        <v>214.4</v>
      </c>
      <c r="C58" s="17">
        <v>14360.13</v>
      </c>
    </row>
    <row r="59" spans="1:3">
      <c r="A59" s="15" t="s">
        <v>29</v>
      </c>
      <c r="B59" s="18">
        <v>85</v>
      </c>
      <c r="C59" s="17">
        <v>19905.310000000001</v>
      </c>
    </row>
    <row r="60" spans="1:3">
      <c r="A60" s="15" t="s">
        <v>8</v>
      </c>
      <c r="B60" s="18">
        <v>30</v>
      </c>
      <c r="C60" s="17">
        <v>246479.63</v>
      </c>
    </row>
    <row r="61" spans="1:3">
      <c r="A61" s="15" t="s">
        <v>72</v>
      </c>
      <c r="B61" s="18">
        <v>18</v>
      </c>
      <c r="C61" s="19">
        <v>328.63</v>
      </c>
    </row>
    <row r="62" spans="1:3">
      <c r="A62" s="15" t="s">
        <v>6</v>
      </c>
      <c r="B62" s="16">
        <v>22621</v>
      </c>
      <c r="C62" s="17">
        <v>341323.32</v>
      </c>
    </row>
    <row r="63" spans="1:3">
      <c r="A63" s="15" t="s">
        <v>30</v>
      </c>
      <c r="B63" s="18">
        <v>116.5</v>
      </c>
      <c r="C63" s="17">
        <v>102567.31</v>
      </c>
    </row>
    <row r="64" spans="1:3">
      <c r="A64" s="15" t="s">
        <v>31</v>
      </c>
      <c r="B64" s="16">
        <v>2099</v>
      </c>
      <c r="C64" s="17">
        <v>74797.56</v>
      </c>
    </row>
    <row r="65" spans="1:3">
      <c r="A65" s="15" t="s">
        <v>32</v>
      </c>
      <c r="B65" s="18">
        <v>41</v>
      </c>
      <c r="C65" s="17">
        <v>37643.699999999997</v>
      </c>
    </row>
    <row r="66" spans="1:3">
      <c r="A66" s="15" t="s">
        <v>33</v>
      </c>
      <c r="B66" s="18">
        <v>38</v>
      </c>
      <c r="C66" s="17">
        <v>21005.599999999999</v>
      </c>
    </row>
    <row r="67" spans="1:3">
      <c r="A67" s="15" t="s">
        <v>34</v>
      </c>
      <c r="B67" s="16">
        <v>2031</v>
      </c>
      <c r="C67" s="17">
        <v>89622.95</v>
      </c>
    </row>
    <row r="68" spans="1:3">
      <c r="A68" s="15" t="s">
        <v>73</v>
      </c>
      <c r="B68" s="16">
        <v>36246</v>
      </c>
      <c r="C68" s="17">
        <v>28068.77</v>
      </c>
    </row>
    <row r="69" spans="1:3">
      <c r="A69" s="15" t="s">
        <v>35</v>
      </c>
      <c r="B69" s="16">
        <v>3263</v>
      </c>
      <c r="C69" s="17">
        <v>24755.67</v>
      </c>
    </row>
    <row r="70" spans="1:3">
      <c r="A70" s="15" t="s">
        <v>74</v>
      </c>
      <c r="B70" s="18">
        <v>130</v>
      </c>
      <c r="C70" s="17">
        <v>69756.87</v>
      </c>
    </row>
  </sheetData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Коефіцієнт Обертання</vt:lpstr>
      <vt:lpstr>Вартість на 08-05-2026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2026-05-08T20:11:20Z</dcterms:modified>
</cp:coreProperties>
</file>